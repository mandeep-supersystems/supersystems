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dy\Downloads\"/>
    </mc:Choice>
  </mc:AlternateContent>
  <xr:revisionPtr revIDLastSave="0" documentId="13_ncr:1_{26967D80-4ACC-428E-AC6E-024DF3DA8A88}" xr6:coauthVersionLast="47" xr6:coauthVersionMax="47" xr10:uidLastSave="{00000000-0000-0000-0000-000000000000}"/>
  <bookViews>
    <workbookView xWindow="-98" yWindow="-98" windowWidth="21795" windowHeight="12975" xr2:uid="{B988C57D-FAF1-4867-9D86-F4AA7D12D22D}"/>
  </bookViews>
  <sheets>
    <sheet name="Production Bin" sheetId="1" r:id="rId1"/>
  </sheets>
  <externalReferences>
    <externalReference r:id="rId2"/>
  </externalReferences>
  <definedNames>
    <definedName name="_xlnm._FilterDatabase" localSheetId="0" hidden="1">'Production Bin'!$A$2:$F$100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1" l="1"/>
  <c r="A87" i="1"/>
  <c r="A86" i="1"/>
  <c r="A85" i="1"/>
  <c r="A84" i="1"/>
  <c r="A83" i="1"/>
  <c r="A82" i="1"/>
  <c r="A81" i="1"/>
  <c r="A80" i="1"/>
  <c r="A79" i="1"/>
  <c r="A77" i="1"/>
  <c r="A76" i="1"/>
  <c r="A62" i="1"/>
  <c r="A60" i="1"/>
  <c r="A59" i="1"/>
  <c r="A58" i="1"/>
  <c r="A57" i="1"/>
  <c r="A55" i="1"/>
  <c r="A38" i="1"/>
  <c r="A37" i="1"/>
  <c r="A34" i="1"/>
  <c r="A33" i="1"/>
  <c r="A32" i="1"/>
  <c r="A31" i="1"/>
  <c r="A30" i="1"/>
  <c r="A29" i="1"/>
  <c r="A28" i="1"/>
  <c r="A26" i="1"/>
  <c r="A25" i="1"/>
  <c r="A24" i="1"/>
  <c r="A23" i="1"/>
  <c r="A22" i="1"/>
  <c r="A21" i="1"/>
  <c r="A19" i="1"/>
  <c r="A18" i="1"/>
  <c r="A17" i="1"/>
  <c r="A14" i="1"/>
  <c r="A12" i="1"/>
  <c r="A11" i="1"/>
  <c r="A10" i="1"/>
  <c r="A9" i="1"/>
  <c r="A8" i="1"/>
  <c r="A7" i="1"/>
  <c r="A6" i="1"/>
  <c r="A5" i="1"/>
  <c r="A3" i="1"/>
</calcChain>
</file>

<file path=xl/sharedStrings.xml><?xml version="1.0" encoding="utf-8"?>
<sst xmlns="http://schemas.openxmlformats.org/spreadsheetml/2006/main" count="595" uniqueCount="336">
  <si>
    <t>Part Number</t>
  </si>
  <si>
    <t>SS PN</t>
  </si>
  <si>
    <t>MPN</t>
  </si>
  <si>
    <t>Make</t>
  </si>
  <si>
    <t>Qty</t>
  </si>
  <si>
    <t>Bin</t>
  </si>
  <si>
    <t>4.3K 0603 1%</t>
  </si>
  <si>
    <t>0603WAF4301Tfe</t>
  </si>
  <si>
    <t>Royalohm</t>
  </si>
  <si>
    <t>E80</t>
  </si>
  <si>
    <t>101.1.0073</t>
  </si>
  <si>
    <t>3.3K 0603 1%</t>
  </si>
  <si>
    <t>0603SAF3301T5E</t>
  </si>
  <si>
    <t>470E 0603 1%</t>
  </si>
  <si>
    <t>RC0603FR-07470RL</t>
  </si>
  <si>
    <t>Yageo</t>
  </si>
  <si>
    <t>330K 0603 1%</t>
  </si>
  <si>
    <t>RC0603FR-07330KL</t>
  </si>
  <si>
    <t>1M 0603 1%</t>
  </si>
  <si>
    <t>CR-03FTP-1M</t>
  </si>
  <si>
    <t>Watts</t>
  </si>
  <si>
    <t>18K 0603 1%</t>
  </si>
  <si>
    <t>CR-03FL7-18K</t>
  </si>
  <si>
    <t>33K 0603 1%</t>
  </si>
  <si>
    <t>CR060333K</t>
  </si>
  <si>
    <t>68E 0603 1%</t>
  </si>
  <si>
    <t>RK73H1JTTD68R0F</t>
  </si>
  <si>
    <t>KOA</t>
  </si>
  <si>
    <t>3.6K 0603 1%</t>
  </si>
  <si>
    <t>CR06033K6</t>
  </si>
  <si>
    <t>100K 0603 1%</t>
  </si>
  <si>
    <t>RC0603FR-07100AL</t>
  </si>
  <si>
    <t>101.1.0032</t>
  </si>
  <si>
    <t>5.1K 0603 1%</t>
  </si>
  <si>
    <t>0603SAFY101T5E</t>
  </si>
  <si>
    <t>39K 0603 1%</t>
  </si>
  <si>
    <t>WR06X3902FTL</t>
  </si>
  <si>
    <t>Walsin</t>
  </si>
  <si>
    <t>101.1.0021</t>
  </si>
  <si>
    <t>10K 0603 1%</t>
  </si>
  <si>
    <t>CR-03-FTP-10K</t>
  </si>
  <si>
    <t>101.1.0011</t>
  </si>
  <si>
    <t>2.7K 0603 1%</t>
  </si>
  <si>
    <t>CR-03-FTP-2K7</t>
  </si>
  <si>
    <t>12K 0603 1%</t>
  </si>
  <si>
    <t>WR06X1202FTL</t>
  </si>
  <si>
    <t>220E 0603 1%</t>
  </si>
  <si>
    <t>CR-03FTP-220R</t>
  </si>
  <si>
    <t>21K 0603 1%</t>
  </si>
  <si>
    <t>RK73H1JTTD2102F</t>
  </si>
  <si>
    <t>101.1.0074</t>
  </si>
  <si>
    <t>200K 0603 1%</t>
  </si>
  <si>
    <t>CR-03FT7-200K</t>
  </si>
  <si>
    <t>68K 0603 1%</t>
  </si>
  <si>
    <t>RK73H1JTTD6802F</t>
  </si>
  <si>
    <t>3K 0603 1%</t>
  </si>
  <si>
    <t>0603WAF3001T5E</t>
  </si>
  <si>
    <t>20K 0603 1%</t>
  </si>
  <si>
    <t>CR-03FTP-20K</t>
  </si>
  <si>
    <t>180K 0603 1%</t>
  </si>
  <si>
    <t>RC0603FR-07180KL</t>
  </si>
  <si>
    <t>470K 0603 1%</t>
  </si>
  <si>
    <t>0603WAF4703D5E</t>
  </si>
  <si>
    <t>1K 0603 1%</t>
  </si>
  <si>
    <t>WR06X1001FTL</t>
  </si>
  <si>
    <t>101.1.0075</t>
  </si>
  <si>
    <t>9.1K 0603 1%</t>
  </si>
  <si>
    <t>CR-03FL7-9K1</t>
  </si>
  <si>
    <t>15K 0603 1%</t>
  </si>
  <si>
    <t>0603WAF1502T5E</t>
  </si>
  <si>
    <t>0E 0603 1%</t>
  </si>
  <si>
    <t>0603SAF0000T5E</t>
  </si>
  <si>
    <t>56K 0603 1%</t>
  </si>
  <si>
    <t>RK73H1JTTD5602F</t>
  </si>
  <si>
    <t>27K 0603 1%</t>
  </si>
  <si>
    <t>CR-03FTP-27K</t>
  </si>
  <si>
    <t>2K 0603 1%</t>
  </si>
  <si>
    <t>0603SAF2001T5E</t>
  </si>
  <si>
    <t>6.8K 0603 1%</t>
  </si>
  <si>
    <t>CR-03FTP-6K8</t>
  </si>
  <si>
    <t>47K 0603 1%</t>
  </si>
  <si>
    <t>0603SAF4702T5E</t>
  </si>
  <si>
    <t>101.1.0076</t>
  </si>
  <si>
    <t>2.49K 0603 1%</t>
  </si>
  <si>
    <t>WR06X2491FTL</t>
  </si>
  <si>
    <t>101.1.0077</t>
  </si>
  <si>
    <t>4.7K 0603 1%</t>
  </si>
  <si>
    <t>CR-03FTP-4K7</t>
  </si>
  <si>
    <t>100E 0603 1%</t>
  </si>
  <si>
    <t>WR06X1000FTL</t>
  </si>
  <si>
    <t>0603WAF2002T5E</t>
  </si>
  <si>
    <t>101.1.0029</t>
  </si>
  <si>
    <t>WR06X1003FTL</t>
  </si>
  <si>
    <t>WALSIN</t>
  </si>
  <si>
    <t>E81</t>
  </si>
  <si>
    <t>0603WAF1002T5E</t>
  </si>
  <si>
    <t>ROYALOHM</t>
  </si>
  <si>
    <t>101.1.0033</t>
  </si>
  <si>
    <t>WR06X471</t>
  </si>
  <si>
    <t>101.1.0044</t>
  </si>
  <si>
    <t>150K 0603 1%</t>
  </si>
  <si>
    <t>WR06X1503FTL</t>
  </si>
  <si>
    <t>101.1.0005</t>
  </si>
  <si>
    <t>0603WAF1001T5E</t>
  </si>
  <si>
    <t>RK73H1JTTD3301F</t>
  </si>
  <si>
    <t>101.1.0007</t>
  </si>
  <si>
    <t>1.5K 0603 1%</t>
  </si>
  <si>
    <t>RK73H1JTTD1501F</t>
  </si>
  <si>
    <t>101.1.0004</t>
  </si>
  <si>
    <t>4.32K 0603 1%</t>
  </si>
  <si>
    <t>J6110-6104K32</t>
  </si>
  <si>
    <t>101.1.0006</t>
  </si>
  <si>
    <t>1.2K 0603 1%</t>
  </si>
  <si>
    <t>CR-3FL7---1K2</t>
  </si>
  <si>
    <t>VIKING</t>
  </si>
  <si>
    <t>101.1.0036</t>
  </si>
  <si>
    <t>10E 0603 1%</t>
  </si>
  <si>
    <t>RM06FT10R0</t>
  </si>
  <si>
    <t>TAI OHM</t>
  </si>
  <si>
    <t>101.1.0012</t>
  </si>
  <si>
    <t>RK73H1JTTD3001F</t>
  </si>
  <si>
    <t>101.1.0002</t>
  </si>
  <si>
    <t>CR-03FTD-100E</t>
  </si>
  <si>
    <t>WATTS</t>
  </si>
  <si>
    <t>101.1.0019</t>
  </si>
  <si>
    <t>8.2K 0603 1%</t>
  </si>
  <si>
    <t>WR06X8201FTL</t>
  </si>
  <si>
    <t>YAGEO</t>
  </si>
  <si>
    <t>0603WAF9101T5E</t>
  </si>
  <si>
    <t>101.1.0050</t>
  </si>
  <si>
    <t>5.6K 0603 1%</t>
  </si>
  <si>
    <t>RK73H1JTTD5601F</t>
  </si>
  <si>
    <t>RC0603FR-074K7L</t>
  </si>
  <si>
    <t>22K 0805 1%</t>
  </si>
  <si>
    <t>CR-05FTP-22K</t>
  </si>
  <si>
    <t>101.2.0055</t>
  </si>
  <si>
    <t>28K 0805 1%</t>
  </si>
  <si>
    <t>0805W8F2802T5E</t>
  </si>
  <si>
    <t>22E 0805 1%</t>
  </si>
  <si>
    <t>0502W8F220JT5E</t>
  </si>
  <si>
    <t>6.8K 0805 1%</t>
  </si>
  <si>
    <t>0805S8F6801T5E</t>
  </si>
  <si>
    <t>10E 0805 1%</t>
  </si>
  <si>
    <t>WR08X10R0FTL</t>
  </si>
  <si>
    <t>100E 0805 1%</t>
  </si>
  <si>
    <t>CR-05FTP-100E</t>
  </si>
  <si>
    <t>101.2.0056</t>
  </si>
  <si>
    <t>2K 0805 1%</t>
  </si>
  <si>
    <t>0805W8F2001T5E</t>
  </si>
  <si>
    <t>100K 0805 1%</t>
  </si>
  <si>
    <t>0805ERF1003T5E</t>
  </si>
  <si>
    <t>101.2.0011</t>
  </si>
  <si>
    <t>470E 0805 1%</t>
  </si>
  <si>
    <t>WR08X4700FTL</t>
  </si>
  <si>
    <t>101.2.0004</t>
  </si>
  <si>
    <t>CR-05FTP-10R</t>
  </si>
  <si>
    <t>101.2.0009</t>
  </si>
  <si>
    <t>150E 0805 1%</t>
  </si>
  <si>
    <t>CR-05FTP-150R</t>
  </si>
  <si>
    <t>101.2.0057</t>
  </si>
  <si>
    <t>68E 0805 1%</t>
  </si>
  <si>
    <t>CR-05FTP-68R</t>
  </si>
  <si>
    <t>101.2.0002</t>
  </si>
  <si>
    <t>75E 0805 1%</t>
  </si>
  <si>
    <t>CR-05FTP-75R</t>
  </si>
  <si>
    <t>101.2.0013</t>
  </si>
  <si>
    <t>1K 0805 1%</t>
  </si>
  <si>
    <t>0805W8F1001T5E</t>
  </si>
  <si>
    <t>101.2.0050</t>
  </si>
  <si>
    <t>3K 0805 1%</t>
  </si>
  <si>
    <t>RM10FT3001</t>
  </si>
  <si>
    <t>101.2.0018</t>
  </si>
  <si>
    <t>47K 0805 1%</t>
  </si>
  <si>
    <t>CR-05FL---47K</t>
  </si>
  <si>
    <t>101.2.0007</t>
  </si>
  <si>
    <t>47E 0805 1%</t>
  </si>
  <si>
    <t>WR08X47R0FTL</t>
  </si>
  <si>
    <t>101.2.0001</t>
  </si>
  <si>
    <t>0E 0805 1%</t>
  </si>
  <si>
    <t>WR08X0000FTL</t>
  </si>
  <si>
    <t>101.2.0027</t>
  </si>
  <si>
    <t>20E 0805 1%</t>
  </si>
  <si>
    <t>CR-05FL7---20R</t>
  </si>
  <si>
    <t>101.2.0051</t>
  </si>
  <si>
    <t>101.2.0015</t>
  </si>
  <si>
    <t>10K 0805 1%</t>
  </si>
  <si>
    <t>0805S8F1002TFP</t>
  </si>
  <si>
    <t>62E 1206 1%</t>
  </si>
  <si>
    <t>WR12X62R0FTL</t>
  </si>
  <si>
    <t>6.8K 1206 1%</t>
  </si>
  <si>
    <t>1206S4F6801T5E</t>
  </si>
  <si>
    <t>101.3.0042</t>
  </si>
  <si>
    <t>1M 1206 1%</t>
  </si>
  <si>
    <t>CR-06FTP-1M</t>
  </si>
  <si>
    <t>10K 1206 1%</t>
  </si>
  <si>
    <t>1206S4F1002T5E</t>
  </si>
  <si>
    <t>750K 1206 1%</t>
  </si>
  <si>
    <t>CR-06FTP-750K</t>
  </si>
  <si>
    <t>200K 1206 1%</t>
  </si>
  <si>
    <t>CR-06FTP-200K</t>
  </si>
  <si>
    <t>10E 1206 1%</t>
  </si>
  <si>
    <t>RK73H2BTTD10R0F</t>
  </si>
  <si>
    <t>4.7K 1206 1%</t>
  </si>
  <si>
    <t>1206S4F4701T5E</t>
  </si>
  <si>
    <t>56K 1206 1%</t>
  </si>
  <si>
    <t>CR-06FTP-56K</t>
  </si>
  <si>
    <t>300K 1206 1%</t>
  </si>
  <si>
    <t>CR-06FTP-300K</t>
  </si>
  <si>
    <t>2E 1206 1%</t>
  </si>
  <si>
    <t>RK73H2BTTD2R</t>
  </si>
  <si>
    <t>330K 1206 1%</t>
  </si>
  <si>
    <t>1206S4F3303T5E</t>
  </si>
  <si>
    <t>2K 1206 1%</t>
  </si>
  <si>
    <t>CR-06FTP-2K</t>
  </si>
  <si>
    <t>101.3.0015</t>
  </si>
  <si>
    <t>1206W4F2003T5E</t>
  </si>
  <si>
    <t>101.3.0002</t>
  </si>
  <si>
    <t>1E 1206 1%</t>
  </si>
  <si>
    <t>CR-06FTP-1R</t>
  </si>
  <si>
    <t>101.3.0004</t>
  </si>
  <si>
    <t>CR-06FTP-10R</t>
  </si>
  <si>
    <t>101.3.0007</t>
  </si>
  <si>
    <t>47E 1206 1%</t>
  </si>
  <si>
    <t>CR-06FTP-47R</t>
  </si>
  <si>
    <t>101.3.0001</t>
  </si>
  <si>
    <t>0E 1206 1%</t>
  </si>
  <si>
    <t>1206WF40000T5E</t>
  </si>
  <si>
    <t>101.3.0043</t>
  </si>
  <si>
    <t>100K 1206 1%</t>
  </si>
  <si>
    <t>RM12FT1003</t>
  </si>
  <si>
    <t>TAIM</t>
  </si>
  <si>
    <t>101.3.0018</t>
  </si>
  <si>
    <t>101.3.0034</t>
  </si>
  <si>
    <t>120E 1206 1%</t>
  </si>
  <si>
    <t>WR12X1200FTL</t>
  </si>
  <si>
    <t>CR-1206FL7---1M</t>
  </si>
  <si>
    <t>101.3.0009</t>
  </si>
  <si>
    <t>1206W4F1002T5E</t>
  </si>
  <si>
    <t>101.3.0035</t>
  </si>
  <si>
    <t>100E 1206 1%</t>
  </si>
  <si>
    <t>CR32-1000-FL</t>
  </si>
  <si>
    <t>ASJ</t>
  </si>
  <si>
    <t>101.3.0038</t>
  </si>
  <si>
    <t>1K 1206 1%</t>
  </si>
  <si>
    <t>1206W4F1001T5E</t>
  </si>
  <si>
    <t>102.1.0013</t>
  </si>
  <si>
    <t>22NF  50V</t>
  </si>
  <si>
    <t>GRM188R71H223KA01D</t>
  </si>
  <si>
    <t>MURATA</t>
  </si>
  <si>
    <t>E82</t>
  </si>
  <si>
    <t>102.1.0018</t>
  </si>
  <si>
    <t>470PF  50V</t>
  </si>
  <si>
    <t>0603B471K500CT</t>
  </si>
  <si>
    <t>102.1.0014</t>
  </si>
  <si>
    <t>1uF 50V</t>
  </si>
  <si>
    <t>0603X105K500</t>
  </si>
  <si>
    <t>102.1.0060</t>
  </si>
  <si>
    <t>1UF 25V</t>
  </si>
  <si>
    <t>CS1608X7R105K250NRB</t>
  </si>
  <si>
    <t>SAMWHA</t>
  </si>
  <si>
    <t>102.1.0021</t>
  </si>
  <si>
    <t>10NF 50V</t>
  </si>
  <si>
    <t>CC0603KRX7R9BB103</t>
  </si>
  <si>
    <t>102.1.0010</t>
  </si>
  <si>
    <t>1NF 50V</t>
  </si>
  <si>
    <t>CC0603JRNPO9BN102</t>
  </si>
  <si>
    <t>102.1.0061</t>
  </si>
  <si>
    <t>100NF 25V</t>
  </si>
  <si>
    <t>0603B104K250CT</t>
  </si>
  <si>
    <t>102.1.0062</t>
  </si>
  <si>
    <t>3.3NF 50V</t>
  </si>
  <si>
    <t>0603B332K500</t>
  </si>
  <si>
    <t>102.1.0015</t>
  </si>
  <si>
    <t>330pF 50V</t>
  </si>
  <si>
    <t>M0603N331J050TAX</t>
  </si>
  <si>
    <t>UWA</t>
  </si>
  <si>
    <t>102.1.0056</t>
  </si>
  <si>
    <t xml:space="preserve">0.1uF 50V </t>
  </si>
  <si>
    <t>0603B104K500</t>
  </si>
  <si>
    <t>1nF 50V</t>
  </si>
  <si>
    <t>0603B102K500</t>
  </si>
  <si>
    <t>102.1.0004</t>
  </si>
  <si>
    <t>2.2nF 50V</t>
  </si>
  <si>
    <t>0603B222K500CT</t>
  </si>
  <si>
    <t>102.1.0055</t>
  </si>
  <si>
    <t>100PF 50V</t>
  </si>
  <si>
    <t>0603B101K500</t>
  </si>
  <si>
    <t>102.1.0022</t>
  </si>
  <si>
    <t>1.5nF 50V</t>
  </si>
  <si>
    <t>CC0603KRX7R9BB152</t>
  </si>
  <si>
    <t>102.1.0063</t>
  </si>
  <si>
    <t xml:space="preserve">100NF 50V </t>
  </si>
  <si>
    <t>0805B104K500</t>
  </si>
  <si>
    <t>102.1.0032</t>
  </si>
  <si>
    <t>CS2012X7R102K500NR</t>
  </si>
  <si>
    <t>102.1.0035</t>
  </si>
  <si>
    <t>10UF 16V</t>
  </si>
  <si>
    <t>CS2012X7R106K160NRE</t>
  </si>
  <si>
    <t>102.1.0064</t>
  </si>
  <si>
    <t>470NF 50V</t>
  </si>
  <si>
    <t>0805B474K500</t>
  </si>
  <si>
    <t>102.1.0011</t>
  </si>
  <si>
    <t>1UF 50V</t>
  </si>
  <si>
    <t>0805B105K500</t>
  </si>
  <si>
    <t>102.1.0065</t>
  </si>
  <si>
    <t>10UF 25V</t>
  </si>
  <si>
    <t>CS2012X5R106K250NRE</t>
  </si>
  <si>
    <t>102.1.0034</t>
  </si>
  <si>
    <t>220NF 50V</t>
  </si>
  <si>
    <t>M0805X224K050WGX</t>
  </si>
  <si>
    <t>UMA</t>
  </si>
  <si>
    <t>102.1.0044</t>
  </si>
  <si>
    <t>0.1uF 100V</t>
  </si>
  <si>
    <t>MH1206X104K101WGX</t>
  </si>
  <si>
    <t>102.1.0008</t>
  </si>
  <si>
    <t>10UF 50V</t>
  </si>
  <si>
    <t>M1206B106K050WLX</t>
  </si>
  <si>
    <t>102.1.0007</t>
  </si>
  <si>
    <t>M1206X106K025WLX</t>
  </si>
  <si>
    <t>102.1.0040</t>
  </si>
  <si>
    <t>1uF100V</t>
  </si>
  <si>
    <t>1206B105K101</t>
  </si>
  <si>
    <t>106.8.0015</t>
  </si>
  <si>
    <t>STM32C092CBT6</t>
  </si>
  <si>
    <t>ST</t>
  </si>
  <si>
    <t>106.5.0002</t>
  </si>
  <si>
    <t>MCP2542WFD-E/SN-ND</t>
  </si>
  <si>
    <t>Microchip Technology</t>
  </si>
  <si>
    <t>106.1.0016</t>
  </si>
  <si>
    <t>TL431IL3T</t>
  </si>
  <si>
    <t>103.8.0004</t>
  </si>
  <si>
    <t>1N4148W</t>
  </si>
  <si>
    <t>MS</t>
  </si>
  <si>
    <t>103.3.0007</t>
  </si>
  <si>
    <t>SS34-E3/57T</t>
  </si>
  <si>
    <t>Vishay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</si>
</sst>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rgb="FFC62828"/>
      <name val="Segoe UI"/>
      <family val="2"/>
    </font>
    <font>
      <b/>
      <sz val="12"/>
      <color theme="1"/>
      <name val="Calibri"/>
      <family val="2"/>
      <scheme val="minor"/>
    </font>
    <font>
      <sz val="10"/>
      <color rgb="FF065F4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3" borderId="0" xfId="0" applyFill="1"/>
    <xf numFmtId="0" fontId="2" fillId="2" borderId="0" xfId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</cellXfs>
  <cellStyles count="2">
    <cellStyle name="Good" xfId="1" builtinId="26"/>
    <cellStyle name="Normal" xfId="0" builtinId="0"/>
  </cellStyles>
  <dxfs count="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dy\Downloads\Store%20inventory%2006%20Aug-copy%20-%20Copy.xlsx" TargetMode="External"/><Relationship Id="rId1" Type="http://schemas.openxmlformats.org/officeDocument/2006/relationships/externalLinkPath" Target="Store%20inventory%2006%20Aug-copy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A-E"/>
      <sheetName val="A"/>
      <sheetName val="B"/>
      <sheetName val="C"/>
      <sheetName val="D"/>
      <sheetName val="E"/>
      <sheetName val="M"/>
      <sheetName val="F"/>
      <sheetName val="SelfRack  &amp; F"/>
      <sheetName val="Category Verified"/>
      <sheetName val="Screw"/>
      <sheetName val="Production Bin"/>
      <sheetName val="Resistor"/>
      <sheetName val="PC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7.5K 0603 1%</v>
          </cell>
          <cell r="B2" t="str">
            <v>101.1.0038</v>
          </cell>
        </row>
        <row r="3">
          <cell r="A3" t="str">
            <v>47K 0603 1%</v>
          </cell>
          <cell r="B3" t="str">
            <v>101.1.0028</v>
          </cell>
        </row>
        <row r="4">
          <cell r="A4" t="str">
            <v>47K 0603 1%</v>
          </cell>
          <cell r="B4" t="str">
            <v>101.1.0028</v>
          </cell>
        </row>
        <row r="5">
          <cell r="A5" t="str">
            <v>27K 0603 1%</v>
          </cell>
          <cell r="B5" t="str">
            <v>101.1.0039</v>
          </cell>
        </row>
        <row r="6">
          <cell r="A6" t="str">
            <v>18K 0603 1%</v>
          </cell>
          <cell r="B6" t="str">
            <v>101.1.0024</v>
          </cell>
        </row>
        <row r="7">
          <cell r="A7" t="str">
            <v>220K 0603 1%</v>
          </cell>
          <cell r="B7" t="str">
            <v>101.1.0040</v>
          </cell>
        </row>
        <row r="8">
          <cell r="A8" t="str">
            <v>180K 0603 1%</v>
          </cell>
          <cell r="B8" t="str">
            <v>101.1.0041</v>
          </cell>
        </row>
        <row r="9">
          <cell r="A9" t="str">
            <v>8.2K 0603 1%</v>
          </cell>
          <cell r="B9" t="str">
            <v>101.1.0019</v>
          </cell>
        </row>
        <row r="10">
          <cell r="A10" t="str">
            <v>100K 0603 1%</v>
          </cell>
          <cell r="B10" t="str">
            <v>101.1.0029</v>
          </cell>
        </row>
        <row r="11">
          <cell r="A11" t="str">
            <v>33K 0603 1%</v>
          </cell>
          <cell r="B11" t="str">
            <v>101.1.0026</v>
          </cell>
        </row>
        <row r="12">
          <cell r="A12" t="str">
            <v>6.8K 0603 1%</v>
          </cell>
          <cell r="B12" t="str">
            <v>101.1.0018</v>
          </cell>
        </row>
        <row r="13">
          <cell r="A13" t="str">
            <v>6.8K 0603 1%</v>
          </cell>
          <cell r="B13" t="str">
            <v>101.1.0018</v>
          </cell>
        </row>
        <row r="14">
          <cell r="A14" t="str">
            <v>20K 0603 1%</v>
          </cell>
          <cell r="B14" t="str">
            <v>101.1.0025</v>
          </cell>
        </row>
        <row r="15">
          <cell r="A15" t="str">
            <v>2.7K 0603 1%</v>
          </cell>
          <cell r="B15" t="str">
            <v>101.1.0011</v>
          </cell>
        </row>
        <row r="16">
          <cell r="A16" t="str">
            <v>2.7K 0603 1%</v>
          </cell>
          <cell r="B16" t="str">
            <v>101.1.0011</v>
          </cell>
        </row>
        <row r="17">
          <cell r="A17" t="str">
            <v>2E 0603 1%</v>
          </cell>
          <cell r="B17" t="str">
            <v>101.1.0042</v>
          </cell>
        </row>
        <row r="18">
          <cell r="A18" t="str">
            <v>3.3M 0603 1%</v>
          </cell>
          <cell r="B18" t="str">
            <v>101.1.0043</v>
          </cell>
        </row>
        <row r="19">
          <cell r="A19" t="str">
            <v>150K 0603 1%</v>
          </cell>
          <cell r="B19" t="str">
            <v>101.1.0044</v>
          </cell>
        </row>
        <row r="20">
          <cell r="A20" t="str">
            <v>56K 0603 1%</v>
          </cell>
          <cell r="B20" t="str">
            <v>101.1.0045</v>
          </cell>
        </row>
        <row r="21">
          <cell r="A21" t="str">
            <v>0E 0603 1%</v>
          </cell>
          <cell r="B21" t="str">
            <v>101.1.0001</v>
          </cell>
        </row>
        <row r="22">
          <cell r="A22" t="str">
            <v>10E 0603 1%</v>
          </cell>
          <cell r="B22" t="str">
            <v>101.1.0036</v>
          </cell>
        </row>
        <row r="23">
          <cell r="A23" t="str">
            <v>4.3K 0603 1%</v>
          </cell>
          <cell r="B23" t="str">
            <v>101.1.0015</v>
          </cell>
        </row>
        <row r="24">
          <cell r="A24" t="str">
            <v>5.1K 0603 1%</v>
          </cell>
          <cell r="B24" t="str">
            <v>101.1.0032</v>
          </cell>
        </row>
        <row r="25">
          <cell r="A25" t="str">
            <v>5.1K 0603 1%</v>
          </cell>
          <cell r="B25" t="str">
            <v>101.1.0032</v>
          </cell>
        </row>
        <row r="26">
          <cell r="A26" t="str">
            <v>499K 0603 1%</v>
          </cell>
          <cell r="B26" t="str">
            <v>101.1.0046</v>
          </cell>
        </row>
        <row r="27">
          <cell r="A27" t="str">
            <v>15K 0603 1%</v>
          </cell>
          <cell r="B27" t="str">
            <v>101.1.0023</v>
          </cell>
        </row>
        <row r="28">
          <cell r="A28" t="str">
            <v>15K 0603 1%</v>
          </cell>
          <cell r="B28" t="str">
            <v>101.1.0023</v>
          </cell>
        </row>
        <row r="29">
          <cell r="A29" t="str">
            <v>2K 0603 1%</v>
          </cell>
          <cell r="B29" t="str">
            <v>101.1.0008</v>
          </cell>
        </row>
        <row r="30">
          <cell r="A30" t="str">
            <v>240E 0603 1%</v>
          </cell>
          <cell r="B30" t="str">
            <v>101.1.0047</v>
          </cell>
        </row>
        <row r="31">
          <cell r="A31" t="str">
            <v>39K 0603 1%</v>
          </cell>
          <cell r="B31" t="str">
            <v>101.1.0027</v>
          </cell>
        </row>
        <row r="32">
          <cell r="A32" t="str">
            <v>1.2K 0603 1%</v>
          </cell>
          <cell r="B32" t="str">
            <v>101.1.0006</v>
          </cell>
        </row>
        <row r="33">
          <cell r="A33" t="str">
            <v>1.2K 0603 1%</v>
          </cell>
          <cell r="B33" t="str">
            <v>101.1.0006</v>
          </cell>
        </row>
        <row r="34">
          <cell r="A34" t="str">
            <v>68K 0603 1%</v>
          </cell>
          <cell r="B34" t="str">
            <v>101.1.0048</v>
          </cell>
        </row>
        <row r="35">
          <cell r="A35" t="str">
            <v>4.7E 0603 1%</v>
          </cell>
          <cell r="B35" t="str">
            <v>101.1.0049</v>
          </cell>
        </row>
        <row r="36">
          <cell r="A36" t="str">
            <v>5.6K 0603 1%</v>
          </cell>
          <cell r="B36" t="str">
            <v>101.1.0050</v>
          </cell>
        </row>
        <row r="37">
          <cell r="A37" t="str">
            <v>5.6K 0603 1%</v>
          </cell>
          <cell r="B37" t="str">
            <v>101.1.0050</v>
          </cell>
        </row>
        <row r="38">
          <cell r="A38" t="str">
            <v>47E 0603 1%</v>
          </cell>
          <cell r="B38" t="str">
            <v>101.1.0037</v>
          </cell>
        </row>
        <row r="39">
          <cell r="A39" t="str">
            <v>47E 0603 1%</v>
          </cell>
          <cell r="B39" t="str">
            <v>101.1.0037</v>
          </cell>
        </row>
        <row r="40">
          <cell r="A40" t="str">
            <v>3.6K 0603 1%</v>
          </cell>
          <cell r="B40" t="str">
            <v>101.1.0014</v>
          </cell>
        </row>
        <row r="41">
          <cell r="A41" t="str">
            <v>680E 0603 1%</v>
          </cell>
          <cell r="B41" t="str">
            <v>101.1.0052</v>
          </cell>
        </row>
        <row r="42">
          <cell r="A42" t="str">
            <v>68E 0603 1%</v>
          </cell>
          <cell r="B42" t="str">
            <v>101.1.0053</v>
          </cell>
        </row>
        <row r="43">
          <cell r="A43" t="str">
            <v>33E 0603 1%</v>
          </cell>
          <cell r="B43" t="str">
            <v>101.1.0054</v>
          </cell>
        </row>
        <row r="44">
          <cell r="A44" t="str">
            <v>2.4K 0603 1%</v>
          </cell>
          <cell r="B44" t="str">
            <v>101.1.0055</v>
          </cell>
        </row>
        <row r="45">
          <cell r="A45" t="str">
            <v>1.69K 0603 1%</v>
          </cell>
          <cell r="B45" t="str">
            <v>101.1.0056</v>
          </cell>
        </row>
        <row r="46">
          <cell r="A46" t="str">
            <v>330K 0603 1%</v>
          </cell>
          <cell r="B46" t="str">
            <v>101.1.0057</v>
          </cell>
        </row>
        <row r="47">
          <cell r="A47" t="str">
            <v>1.8K 0603 1%</v>
          </cell>
          <cell r="B47" t="str">
            <v>101.1.0058</v>
          </cell>
        </row>
        <row r="48">
          <cell r="A48" t="str">
            <v>1.8K 0603 1%</v>
          </cell>
          <cell r="B48" t="str">
            <v>101.1.0058</v>
          </cell>
        </row>
        <row r="49">
          <cell r="A49" t="str">
            <v>1.8K 0603 1%</v>
          </cell>
          <cell r="B49" t="str">
            <v>101.1.0058</v>
          </cell>
        </row>
        <row r="50">
          <cell r="A50" t="str">
            <v>2.2K 0603 1%</v>
          </cell>
          <cell r="B50" t="str">
            <v>101.1.0009</v>
          </cell>
        </row>
        <row r="51">
          <cell r="A51" t="str">
            <v>330E 0603 1%</v>
          </cell>
          <cell r="B51" t="str">
            <v>101.1.0061</v>
          </cell>
        </row>
        <row r="52">
          <cell r="A52" t="str">
            <v>1M 0603 1%</v>
          </cell>
          <cell r="B52" t="str">
            <v>101.1.0030</v>
          </cell>
        </row>
        <row r="53">
          <cell r="A53" t="str">
            <v>1M 0603 1%</v>
          </cell>
          <cell r="B53" t="str">
            <v>101.1.0030</v>
          </cell>
        </row>
        <row r="54">
          <cell r="A54" t="str">
            <v>33K 0603 1%</v>
          </cell>
          <cell r="B54" t="str">
            <v>101.1.0026</v>
          </cell>
        </row>
        <row r="55">
          <cell r="A55" t="str">
            <v>10E 0603 1%</v>
          </cell>
          <cell r="B55" t="str">
            <v>101.1.0036</v>
          </cell>
        </row>
        <row r="56">
          <cell r="A56" t="str">
            <v>150E 0603 1%</v>
          </cell>
          <cell r="B56" t="str">
            <v>101.1.0062</v>
          </cell>
        </row>
        <row r="57">
          <cell r="A57" t="str">
            <v>8.66K 0603 1%</v>
          </cell>
          <cell r="B57" t="str">
            <v>101.1.0063</v>
          </cell>
        </row>
        <row r="58">
          <cell r="A58" t="str">
            <v>39K 0603 1%</v>
          </cell>
          <cell r="B58" t="str">
            <v>101.1.0027</v>
          </cell>
        </row>
        <row r="59">
          <cell r="A59" t="str">
            <v>15K 0603 1%</v>
          </cell>
          <cell r="B59" t="str">
            <v>101.1.0023</v>
          </cell>
        </row>
        <row r="60">
          <cell r="A60" t="str">
            <v>100K 0603 1%</v>
          </cell>
          <cell r="B60" t="str">
            <v>101.1.0029</v>
          </cell>
        </row>
        <row r="61">
          <cell r="A61" t="str">
            <v>4.3K 0603 1%</v>
          </cell>
          <cell r="B61" t="str">
            <v>101.1.0015</v>
          </cell>
        </row>
        <row r="62">
          <cell r="A62" t="str">
            <v>1K 0603 1%</v>
          </cell>
          <cell r="B62" t="str">
            <v>101.1.0005</v>
          </cell>
        </row>
        <row r="63">
          <cell r="A63" t="str">
            <v>10K 0603 1%</v>
          </cell>
          <cell r="B63" t="str">
            <v>101.1.0021</v>
          </cell>
        </row>
        <row r="64">
          <cell r="A64" t="str">
            <v>1.5K 0603 1%</v>
          </cell>
          <cell r="B64" t="str">
            <v>101.1.0007</v>
          </cell>
        </row>
        <row r="65">
          <cell r="A65" t="str">
            <v>470E 0603 1%</v>
          </cell>
          <cell r="B65" t="str">
            <v>101.1.0033</v>
          </cell>
        </row>
        <row r="66">
          <cell r="A66" t="str">
            <v>22E 0603 1%</v>
          </cell>
          <cell r="B66" t="str">
            <v>101.1.0064</v>
          </cell>
        </row>
        <row r="67">
          <cell r="A67" t="str">
            <v>470K 0603 1%</v>
          </cell>
          <cell r="B67" t="str">
            <v>101.1.0065</v>
          </cell>
        </row>
        <row r="68">
          <cell r="A68" t="str">
            <v>4.87K 0603 1%</v>
          </cell>
          <cell r="B68" t="str">
            <v>101.1.0066</v>
          </cell>
        </row>
        <row r="69">
          <cell r="A69" t="str">
            <v>12K 0603 1%</v>
          </cell>
          <cell r="B69" t="str">
            <v>101.1.0022</v>
          </cell>
        </row>
        <row r="70">
          <cell r="A70" t="str">
            <v>10E 0603 1%</v>
          </cell>
          <cell r="B70" t="str">
            <v>101.1.0036</v>
          </cell>
        </row>
        <row r="71">
          <cell r="A71" t="str">
            <v>2K 0603 1%</v>
          </cell>
          <cell r="B71" t="str">
            <v>101.1.0008</v>
          </cell>
        </row>
        <row r="72">
          <cell r="A72" t="str">
            <v>33K 0603 1%</v>
          </cell>
          <cell r="B72" t="str">
            <v>101.1.0026</v>
          </cell>
        </row>
        <row r="73">
          <cell r="A73" t="str">
            <v>47K 0603 1%</v>
          </cell>
          <cell r="B73" t="str">
            <v>101.1.0028</v>
          </cell>
        </row>
        <row r="74">
          <cell r="A74" t="str">
            <v>220E 0603 1%</v>
          </cell>
          <cell r="B74" t="str">
            <v>101.1.0003</v>
          </cell>
        </row>
        <row r="75">
          <cell r="A75" t="str">
            <v>10E 0603 1%</v>
          </cell>
          <cell r="B75" t="str">
            <v>101.1.0036</v>
          </cell>
        </row>
        <row r="76">
          <cell r="A76" t="str">
            <v>22E 0603 1%</v>
          </cell>
          <cell r="B76" t="str">
            <v>101.1.0064</v>
          </cell>
        </row>
        <row r="77">
          <cell r="A77" t="str">
            <v>2K 0603 1%</v>
          </cell>
          <cell r="B77" t="str">
            <v>101.1.0008</v>
          </cell>
        </row>
        <row r="78">
          <cell r="A78" t="str">
            <v>470E 0603 1%</v>
          </cell>
          <cell r="B78" t="str">
            <v>101.1.0033</v>
          </cell>
        </row>
        <row r="79">
          <cell r="A79" t="str">
            <v>47E 0805 1%</v>
          </cell>
          <cell r="B79" t="str">
            <v>101.2.0007</v>
          </cell>
        </row>
        <row r="80">
          <cell r="A80" t="str">
            <v>100E 0805 1%</v>
          </cell>
          <cell r="B80" t="str">
            <v>101.2.0008</v>
          </cell>
        </row>
        <row r="81">
          <cell r="A81" t="str">
            <v>10E 0805 1%</v>
          </cell>
          <cell r="B81" t="str">
            <v>101.2.0004</v>
          </cell>
        </row>
        <row r="82">
          <cell r="A82" t="str">
            <v>33K 0805 1%</v>
          </cell>
          <cell r="B82" t="str">
            <v>101.2.0020</v>
          </cell>
        </row>
        <row r="83">
          <cell r="A83" t="str">
            <v>33K 0805 1%</v>
          </cell>
          <cell r="B83" t="str">
            <v>101.2.0020</v>
          </cell>
        </row>
        <row r="84">
          <cell r="A84" t="str">
            <v>6.8K 0805 1%</v>
          </cell>
          <cell r="B84" t="str">
            <v>101.2.0014</v>
          </cell>
        </row>
        <row r="85">
          <cell r="A85" t="str">
            <v>6.8K 0805 1%</v>
          </cell>
          <cell r="B85" t="str">
            <v>101.2.0014</v>
          </cell>
        </row>
        <row r="86">
          <cell r="A86" t="str">
            <v>470E 0805 1%</v>
          </cell>
          <cell r="B86" t="str">
            <v>101.2.0011</v>
          </cell>
        </row>
        <row r="87">
          <cell r="A87" t="str">
            <v>470E 0805 1%</v>
          </cell>
          <cell r="B87" t="str">
            <v>101.2.0011</v>
          </cell>
        </row>
        <row r="88">
          <cell r="A88" t="str">
            <v>470E 0805 1%</v>
          </cell>
          <cell r="B88" t="str">
            <v>101.2.0011</v>
          </cell>
        </row>
        <row r="89">
          <cell r="A89" t="str">
            <v>150E 0805 1%</v>
          </cell>
          <cell r="B89" t="str">
            <v>101.2.0009</v>
          </cell>
        </row>
        <row r="90">
          <cell r="A90" t="str">
            <v>150E 0805 1%</v>
          </cell>
          <cell r="B90" t="str">
            <v>101.2.0009</v>
          </cell>
        </row>
        <row r="91">
          <cell r="A91" t="str">
            <v>1M 0805 1%</v>
          </cell>
          <cell r="B91" t="str">
            <v>101.2.0022</v>
          </cell>
        </row>
        <row r="92">
          <cell r="A92" t="str">
            <v>1M 0805 1%</v>
          </cell>
          <cell r="B92" t="str">
            <v>101.2.0022</v>
          </cell>
        </row>
        <row r="93">
          <cell r="A93" t="str">
            <v>1M 0805 1%</v>
          </cell>
          <cell r="B93" t="str">
            <v>101.2.0022</v>
          </cell>
        </row>
        <row r="94">
          <cell r="A94" t="str">
            <v>10K 0805 1%</v>
          </cell>
          <cell r="B94" t="str">
            <v>101.2.0015</v>
          </cell>
        </row>
        <row r="95">
          <cell r="A95" t="str">
            <v>4.7K 0805 1%</v>
          </cell>
          <cell r="B95" t="str">
            <v>101.2.0025</v>
          </cell>
        </row>
        <row r="96">
          <cell r="A96" t="str">
            <v>43K 0805 1%</v>
          </cell>
          <cell r="B96" t="str">
            <v>101.2.0026</v>
          </cell>
        </row>
        <row r="97">
          <cell r="A97" t="str">
            <v>20E 0805 1%</v>
          </cell>
          <cell r="B97" t="str">
            <v>101.2.0027</v>
          </cell>
        </row>
        <row r="98">
          <cell r="A98" t="str">
            <v>2.2E 0805 1%</v>
          </cell>
          <cell r="B98" t="str">
            <v>101.2.0028</v>
          </cell>
        </row>
        <row r="99">
          <cell r="A99" t="str">
            <v>4.7K 0805 1%</v>
          </cell>
          <cell r="B99" t="str">
            <v>101.2.0025</v>
          </cell>
        </row>
        <row r="100">
          <cell r="A100" t="str">
            <v>220E 0805 1%</v>
          </cell>
          <cell r="B100" t="str">
            <v>101.2.0010</v>
          </cell>
        </row>
        <row r="101">
          <cell r="A101" t="str">
            <v>5.6K 0805 1%</v>
          </cell>
          <cell r="B101" t="str">
            <v>101.2.0030</v>
          </cell>
        </row>
        <row r="102">
          <cell r="A102" t="str">
            <v>220E 08051%</v>
          </cell>
          <cell r="B102" t="str">
            <v>101.2.0010</v>
          </cell>
        </row>
        <row r="103">
          <cell r="A103" t="str">
            <v>6.8K 0805 1%</v>
          </cell>
          <cell r="B103" t="str">
            <v>101.2.0014</v>
          </cell>
        </row>
        <row r="104">
          <cell r="A104" t="str">
            <v>453K 0805 1%</v>
          </cell>
          <cell r="B104" t="str">
            <v>101.2.0031</v>
          </cell>
        </row>
        <row r="105">
          <cell r="A105" t="str">
            <v>4.7K 0805 1%</v>
          </cell>
          <cell r="B105" t="str">
            <v>101.2.0025</v>
          </cell>
        </row>
        <row r="106">
          <cell r="A106" t="str">
            <v>220E 0805 1%</v>
          </cell>
          <cell r="B106" t="str">
            <v>101.2.0010</v>
          </cell>
        </row>
        <row r="107">
          <cell r="A107" t="str">
            <v>75K 0805 1%</v>
          </cell>
          <cell r="B107" t="str">
            <v>101.2.0033</v>
          </cell>
        </row>
        <row r="108">
          <cell r="A108" t="str">
            <v>100K 0805 1%</v>
          </cell>
          <cell r="B108" t="str">
            <v>101.2.0019</v>
          </cell>
        </row>
        <row r="109">
          <cell r="A109" t="str">
            <v>47E 0805 1%</v>
          </cell>
          <cell r="B109" t="str">
            <v>101.2.0007</v>
          </cell>
        </row>
        <row r="110">
          <cell r="A110" t="str">
            <v>10E 0805 1%</v>
          </cell>
          <cell r="B110" t="str">
            <v>101.2.0004</v>
          </cell>
        </row>
        <row r="111">
          <cell r="A111" t="str">
            <v>5.1M 0805</v>
          </cell>
          <cell r="B111" t="str">
            <v>101.2.0034</v>
          </cell>
        </row>
        <row r="112">
          <cell r="A112" t="str">
            <v>0E 0805 1%</v>
          </cell>
          <cell r="B112" t="str">
            <v>101.2.0001</v>
          </cell>
        </row>
        <row r="113">
          <cell r="A113" t="str">
            <v>47K 0805 1%</v>
          </cell>
          <cell r="B113" t="str">
            <v>101.2.0018</v>
          </cell>
        </row>
        <row r="114">
          <cell r="A114" t="str">
            <v>10E 0805 1%</v>
          </cell>
          <cell r="B114" t="str">
            <v>101.2.0004</v>
          </cell>
        </row>
        <row r="115">
          <cell r="A115" t="str">
            <v>470E 0805 1%</v>
          </cell>
          <cell r="B115" t="str">
            <v>101.2.0011</v>
          </cell>
        </row>
        <row r="116">
          <cell r="A116" t="str">
            <v>1M 0805 1%</v>
          </cell>
          <cell r="B116" t="str">
            <v>101.2.0022</v>
          </cell>
        </row>
        <row r="117">
          <cell r="A117" t="str">
            <v>240K 0805 1%</v>
          </cell>
          <cell r="B117" t="str">
            <v>101.2.0036</v>
          </cell>
        </row>
        <row r="118">
          <cell r="A118" t="str">
            <v>5.6K 0805 1%</v>
          </cell>
          <cell r="B118" t="str">
            <v>101.2.0030</v>
          </cell>
        </row>
        <row r="119">
          <cell r="A119" t="str">
            <v>470E 0805 1%</v>
          </cell>
          <cell r="B119" t="str">
            <v>101.2.0011</v>
          </cell>
        </row>
        <row r="120">
          <cell r="A120" t="str">
            <v>10E 0805 1%</v>
          </cell>
          <cell r="B120" t="str">
            <v>101.2.0004</v>
          </cell>
        </row>
        <row r="121">
          <cell r="A121" t="str">
            <v>10E 0805 1%</v>
          </cell>
          <cell r="B121" t="str">
            <v>101.2.0004</v>
          </cell>
        </row>
        <row r="122">
          <cell r="A122" t="str">
            <v>39K 0805 1%</v>
          </cell>
          <cell r="B122" t="str">
            <v>101.2.0038</v>
          </cell>
        </row>
        <row r="123">
          <cell r="A123" t="str">
            <v>5.1K 0805 1%</v>
          </cell>
          <cell r="B123" t="str">
            <v>101.2.0039</v>
          </cell>
        </row>
        <row r="124">
          <cell r="A124" t="str">
            <v>10K 0805 1%</v>
          </cell>
          <cell r="B124" t="str">
            <v>101.2.0015</v>
          </cell>
        </row>
        <row r="125">
          <cell r="A125" t="str">
            <v>3.3K 0805 1%</v>
          </cell>
          <cell r="B125" t="str">
            <v>101.2.0040</v>
          </cell>
        </row>
        <row r="126">
          <cell r="A126" t="str">
            <v>2.2K 0805 1%</v>
          </cell>
          <cell r="B126" t="str">
            <v>101.2.0041</v>
          </cell>
        </row>
        <row r="127">
          <cell r="A127" t="str">
            <v>100E 0805 1%</v>
          </cell>
          <cell r="B127" t="str">
            <v>101.2.0008</v>
          </cell>
        </row>
        <row r="128">
          <cell r="A128" t="str">
            <v>100K 0805 1%</v>
          </cell>
          <cell r="B128" t="str">
            <v>101.2.0019</v>
          </cell>
        </row>
        <row r="129">
          <cell r="A129" t="str">
            <v>43K 0805 1%</v>
          </cell>
          <cell r="B129" t="str">
            <v>101.2.0026</v>
          </cell>
        </row>
        <row r="130">
          <cell r="A130" t="str">
            <v>2.2K 0805 1%</v>
          </cell>
          <cell r="B130" t="str">
            <v>101.2.0041</v>
          </cell>
        </row>
        <row r="131">
          <cell r="A131" t="str">
            <v>100K 0805 1%</v>
          </cell>
          <cell r="B131" t="str">
            <v>101.2.0019</v>
          </cell>
        </row>
        <row r="132">
          <cell r="A132" t="str">
            <v>10K 0805 1%</v>
          </cell>
          <cell r="B132" t="str">
            <v>101.2.0015</v>
          </cell>
        </row>
        <row r="133">
          <cell r="A133" t="str">
            <v>4.3K 0805 1%</v>
          </cell>
          <cell r="B133" t="str">
            <v>101.2.0044</v>
          </cell>
        </row>
        <row r="134">
          <cell r="A134" t="str">
            <v>499K 0805 1%</v>
          </cell>
          <cell r="B134" t="str">
            <v>101.2.0045</v>
          </cell>
        </row>
        <row r="135">
          <cell r="A135" t="str">
            <v>100K 0805 1%</v>
          </cell>
          <cell r="B135" t="str">
            <v>101.2.0019</v>
          </cell>
        </row>
        <row r="136">
          <cell r="A136" t="str">
            <v>0E 0805 1%</v>
          </cell>
          <cell r="B136" t="str">
            <v>101.2.0001</v>
          </cell>
        </row>
        <row r="137">
          <cell r="A137" t="str">
            <v>3.3K 0805 1%</v>
          </cell>
          <cell r="B137" t="str">
            <v>101.2.0040</v>
          </cell>
        </row>
        <row r="138">
          <cell r="A138" t="str">
            <v>1K 0805 1%</v>
          </cell>
          <cell r="B138" t="str">
            <v>101.2.0013</v>
          </cell>
        </row>
        <row r="139">
          <cell r="A139" t="str">
            <v>3.3K 0805 1%</v>
          </cell>
          <cell r="B139" t="str">
            <v>101.2.0040</v>
          </cell>
        </row>
        <row r="140">
          <cell r="A140" t="str">
            <v>47E 0805 1%</v>
          </cell>
          <cell r="B140" t="str">
            <v>101.2.0007</v>
          </cell>
        </row>
        <row r="141">
          <cell r="A141" t="str">
            <v>5.1K 0805 1%</v>
          </cell>
          <cell r="B141" t="str">
            <v>101.2.0039</v>
          </cell>
        </row>
        <row r="142">
          <cell r="A142" t="str">
            <v>1mE 5930 1%</v>
          </cell>
          <cell r="B142" t="str">
            <v>101.7.0003</v>
          </cell>
        </row>
        <row r="143">
          <cell r="A143" t="str">
            <v>5ME 2512 1%</v>
          </cell>
          <cell r="B143" t="str">
            <v>101.8.0001</v>
          </cell>
        </row>
        <row r="144">
          <cell r="A144" t="str">
            <v>0.5ME 5930</v>
          </cell>
          <cell r="B144" t="str">
            <v>101.7.0004</v>
          </cell>
        </row>
        <row r="145">
          <cell r="A145" t="str">
            <v>33E 2512 1%</v>
          </cell>
          <cell r="B145" t="str">
            <v>101.8.0003</v>
          </cell>
        </row>
        <row r="146">
          <cell r="A146" t="str">
            <v>22E 2512 1%</v>
          </cell>
          <cell r="B146" t="str">
            <v>101.8.0004</v>
          </cell>
        </row>
        <row r="147">
          <cell r="A147" t="str">
            <v>33K 1206 1%</v>
          </cell>
          <cell r="B147" t="str">
            <v>101.3.0024</v>
          </cell>
        </row>
        <row r="148">
          <cell r="A148" t="str">
            <v>220E 1206 1%</v>
          </cell>
          <cell r="B148" t="str">
            <v>101.3.0025</v>
          </cell>
        </row>
        <row r="149">
          <cell r="A149" t="str">
            <v>1.2K 1206 1%</v>
          </cell>
          <cell r="B149" t="str">
            <v>101.3.0026</v>
          </cell>
        </row>
        <row r="150">
          <cell r="A150" t="str">
            <v>3.3K 1206 1%</v>
          </cell>
          <cell r="B150" t="str">
            <v>101.3.0027</v>
          </cell>
        </row>
        <row r="151">
          <cell r="A151" t="str">
            <v>0.68E 1206 1%</v>
          </cell>
          <cell r="B151" t="str">
            <v>101.3.0028</v>
          </cell>
        </row>
        <row r="152">
          <cell r="A152" t="str">
            <v>220E 1206 1%</v>
          </cell>
          <cell r="B152" t="str">
            <v>101.3.0025</v>
          </cell>
        </row>
        <row r="153">
          <cell r="A153" t="str">
            <v>22E 1206 1%</v>
          </cell>
          <cell r="B153" t="str">
            <v>101.3.0005</v>
          </cell>
        </row>
        <row r="154">
          <cell r="A154" t="str">
            <v>10E 1206 1%</v>
          </cell>
          <cell r="B154" t="str">
            <v>101.3.0004</v>
          </cell>
        </row>
        <row r="155">
          <cell r="A155" t="str">
            <v>56K 1206 1%</v>
          </cell>
          <cell r="B155" t="str">
            <v>101.3.0013</v>
          </cell>
        </row>
        <row r="156">
          <cell r="A156" t="str">
            <v>47K 1206 1%</v>
          </cell>
          <cell r="B156" t="str">
            <v>101.3.0012</v>
          </cell>
        </row>
        <row r="157">
          <cell r="A157" t="str">
            <v>750K 1206 1%</v>
          </cell>
          <cell r="B157" t="str">
            <v>101.3.0018</v>
          </cell>
        </row>
        <row r="158">
          <cell r="A158" t="str">
            <v>4.7K 1206 1%</v>
          </cell>
          <cell r="B158" t="str">
            <v>101.3.0020</v>
          </cell>
        </row>
        <row r="159">
          <cell r="A159" t="str">
            <v>2E 1206 1%</v>
          </cell>
          <cell r="B159" t="str">
            <v>101.3.0003</v>
          </cell>
        </row>
        <row r="160">
          <cell r="A160" t="str">
            <v>2.2K 1206 1%</v>
          </cell>
          <cell r="B160" t="str">
            <v>101.3.0030</v>
          </cell>
        </row>
        <row r="161">
          <cell r="A161" t="str">
            <v>330E 1206 1%</v>
          </cell>
          <cell r="B161" t="str">
            <v>101.3.0031</v>
          </cell>
        </row>
        <row r="162">
          <cell r="A162" t="str">
            <v>8.2K 1206 1%</v>
          </cell>
          <cell r="B162" t="str">
            <v>101.3.0032</v>
          </cell>
        </row>
        <row r="163">
          <cell r="A163" t="str">
            <v>2K 1206 1%</v>
          </cell>
          <cell r="B163" t="str">
            <v>101.3.0023</v>
          </cell>
        </row>
        <row r="164">
          <cell r="A164" t="str">
            <v>33K 1206 1%</v>
          </cell>
          <cell r="B164" t="str">
            <v>101.3.0024</v>
          </cell>
        </row>
        <row r="165">
          <cell r="A165" t="str">
            <v>120E 1206 1%</v>
          </cell>
          <cell r="B165" t="str">
            <v>101.3.0034</v>
          </cell>
        </row>
        <row r="166">
          <cell r="A166" t="str">
            <v>4.7K 1206 1%</v>
          </cell>
          <cell r="B166" t="str">
            <v>101.3.0020</v>
          </cell>
        </row>
        <row r="167">
          <cell r="A167" t="str">
            <v>1E 1206 1%</v>
          </cell>
          <cell r="B167" t="str">
            <v>101.3.0002</v>
          </cell>
        </row>
        <row r="168">
          <cell r="A168" t="str">
            <v>200K 1206 1%</v>
          </cell>
          <cell r="B168" t="str">
            <v>101.3.0015</v>
          </cell>
        </row>
        <row r="169">
          <cell r="A169" t="str">
            <v>47E 1206 1%</v>
          </cell>
          <cell r="B169" t="str">
            <v>101.3.0007</v>
          </cell>
        </row>
        <row r="170">
          <cell r="A170" t="str">
            <v>62E 1206 1%</v>
          </cell>
          <cell r="B170" t="str">
            <v>101.3.0008</v>
          </cell>
        </row>
        <row r="171">
          <cell r="A171" t="str">
            <v>1E 1206 1%</v>
          </cell>
          <cell r="B171" t="str">
            <v>101.3.0002</v>
          </cell>
        </row>
        <row r="172">
          <cell r="A172" t="str">
            <v>10E 2512 1%</v>
          </cell>
          <cell r="B172" t="str">
            <v>101.8.0005</v>
          </cell>
        </row>
        <row r="173">
          <cell r="A173" t="str">
            <v>47E 1206 1%</v>
          </cell>
          <cell r="B173" t="str">
            <v>101.3.0007</v>
          </cell>
        </row>
        <row r="174">
          <cell r="A174" t="str">
            <v>22E 1206 1%</v>
          </cell>
          <cell r="B174" t="str">
            <v>101.3.0005</v>
          </cell>
        </row>
        <row r="175">
          <cell r="A175" t="str">
            <v>4.7K 1206</v>
          </cell>
          <cell r="B175" t="str">
            <v>101.3.0020</v>
          </cell>
        </row>
        <row r="176">
          <cell r="A176" t="str">
            <v>330K 1/8W</v>
          </cell>
          <cell r="B176" t="str">
            <v>101.5.0001</v>
          </cell>
        </row>
        <row r="177">
          <cell r="A177" t="str">
            <v>100K 1/8W</v>
          </cell>
          <cell r="B177" t="str">
            <v>101.5.0002</v>
          </cell>
        </row>
        <row r="178">
          <cell r="A178" t="str">
            <v>10E 1/8W</v>
          </cell>
          <cell r="B178" t="str">
            <v>101.5.0003</v>
          </cell>
        </row>
        <row r="179">
          <cell r="A179" t="str">
            <v>330K 1206 1%</v>
          </cell>
          <cell r="B179" t="str">
            <v>101.3.0017</v>
          </cell>
        </row>
        <row r="180">
          <cell r="A180" t="str">
            <v>10E 1206 1%</v>
          </cell>
          <cell r="B180" t="str">
            <v>101.3.0004</v>
          </cell>
        </row>
        <row r="181">
          <cell r="A181" t="str">
            <v>6.8K 1206 1%</v>
          </cell>
          <cell r="B181" t="str">
            <v>101.3.0021</v>
          </cell>
        </row>
        <row r="182">
          <cell r="A182" t="str">
            <v>2K 1206 1%</v>
          </cell>
          <cell r="B182" t="str">
            <v>101.3.0023</v>
          </cell>
        </row>
        <row r="183">
          <cell r="A183" t="str">
            <v>100E 1206 1%</v>
          </cell>
          <cell r="B183" t="str">
            <v>101.3.0035</v>
          </cell>
        </row>
        <row r="184">
          <cell r="A184" t="str">
            <v>1E 1206 1%</v>
          </cell>
          <cell r="B184" t="str">
            <v>101.3.0002</v>
          </cell>
        </row>
        <row r="185">
          <cell r="A185" t="str">
            <v>62E 1206 1%</v>
          </cell>
          <cell r="B185" t="str">
            <v>101.3.0008</v>
          </cell>
        </row>
        <row r="186">
          <cell r="A186" t="str">
            <v>10K 2W</v>
          </cell>
          <cell r="B186" t="str">
            <v>101.5.0004</v>
          </cell>
        </row>
        <row r="187">
          <cell r="A187" t="str">
            <v>0E 1206 1%</v>
          </cell>
          <cell r="B187" t="str">
            <v>101.3.0001</v>
          </cell>
        </row>
        <row r="188">
          <cell r="A188" t="str">
            <v>62E 1206 1%</v>
          </cell>
          <cell r="B188" t="str">
            <v>101.3.0008</v>
          </cell>
        </row>
        <row r="189">
          <cell r="A189" t="str">
            <v>300K 1206 1%</v>
          </cell>
          <cell r="B189" t="str">
            <v>101.3.0016</v>
          </cell>
        </row>
        <row r="190">
          <cell r="A190" t="str">
            <v>1E 1206 1%</v>
          </cell>
          <cell r="B190" t="str">
            <v>101.3.0002</v>
          </cell>
        </row>
        <row r="191">
          <cell r="A191" t="str">
            <v>10K 1206 1%</v>
          </cell>
          <cell r="B191" t="str">
            <v>101.3.0009</v>
          </cell>
        </row>
        <row r="192">
          <cell r="A192" t="str">
            <v>10E 1206 1%</v>
          </cell>
          <cell r="B192" t="str">
            <v>101.3.0004</v>
          </cell>
        </row>
        <row r="193">
          <cell r="A193" t="str">
            <v>2K 1206 1%</v>
          </cell>
          <cell r="B193" t="str">
            <v>101.3.0023</v>
          </cell>
        </row>
        <row r="194">
          <cell r="A194" t="str">
            <v>1E 2512 5%</v>
          </cell>
          <cell r="B194" t="str">
            <v>101.8.0006</v>
          </cell>
        </row>
        <row r="195">
          <cell r="A195" t="str">
            <v>10E 5W THT</v>
          </cell>
          <cell r="B195" t="str">
            <v>101.5.0005</v>
          </cell>
        </row>
        <row r="196">
          <cell r="A196" t="str">
            <v>0.1E 5W THT</v>
          </cell>
          <cell r="B196" t="str">
            <v>101.5.0006</v>
          </cell>
        </row>
        <row r="197">
          <cell r="A197" t="str">
            <v>20E 1/4W THT</v>
          </cell>
          <cell r="B197" t="str">
            <v>101.5.0007</v>
          </cell>
        </row>
        <row r="198">
          <cell r="A198" t="str">
            <v>330E 2W THT</v>
          </cell>
          <cell r="B198" t="str">
            <v>101.5.0008</v>
          </cell>
        </row>
        <row r="199">
          <cell r="A199" t="str">
            <v>0.5E 5W THT</v>
          </cell>
          <cell r="B199" t="str">
            <v>101.5.0009</v>
          </cell>
        </row>
        <row r="200">
          <cell r="A200" t="str">
            <v>100K 1/4W 1%</v>
          </cell>
          <cell r="B200" t="str">
            <v>101.5.0010</v>
          </cell>
        </row>
        <row r="201">
          <cell r="A201" t="str">
            <v>49.9E 0603 1%</v>
          </cell>
          <cell r="B201" t="str">
            <v>101.1.0068</v>
          </cell>
        </row>
        <row r="202">
          <cell r="A202" t="str">
            <v>21K 0603 1%</v>
          </cell>
          <cell r="B202" t="str">
            <v>101.1.0069</v>
          </cell>
        </row>
        <row r="203">
          <cell r="A203" t="str">
            <v>10E 0603 1%</v>
          </cell>
          <cell r="B203" t="str">
            <v>101.1.0036</v>
          </cell>
        </row>
        <row r="204">
          <cell r="A204" t="str">
            <v>100E 0603 1%</v>
          </cell>
          <cell r="B204" t="str">
            <v>101.1.0002</v>
          </cell>
        </row>
        <row r="205">
          <cell r="A205" t="str">
            <v>6.8K 0603 1%</v>
          </cell>
          <cell r="B205" t="str">
            <v>101.1.0018</v>
          </cell>
        </row>
        <row r="206">
          <cell r="A206" t="str">
            <v>1K 0603 1%</v>
          </cell>
          <cell r="B206" t="str">
            <v>101.1.0005</v>
          </cell>
        </row>
        <row r="207">
          <cell r="A207" t="str">
            <v>47E 0603 1%</v>
          </cell>
          <cell r="B207" t="str">
            <v>101.1.0037</v>
          </cell>
        </row>
        <row r="208">
          <cell r="A208" t="str">
            <v>20E 0603 1%</v>
          </cell>
          <cell r="B208" t="str">
            <v>101.1.0070</v>
          </cell>
        </row>
        <row r="209">
          <cell r="A209" t="str">
            <v>18K 0603 1%</v>
          </cell>
          <cell r="B209" t="str">
            <v>101.1.0024</v>
          </cell>
        </row>
        <row r="210">
          <cell r="A210" t="str">
            <v>0E 0603 1%</v>
          </cell>
          <cell r="B210" t="str">
            <v>101.1.0001</v>
          </cell>
        </row>
        <row r="211">
          <cell r="A211" t="str">
            <v>3K 0603 1%</v>
          </cell>
          <cell r="B211" t="str">
            <v>101.1.0012</v>
          </cell>
        </row>
        <row r="212">
          <cell r="A212" t="str">
            <v>2.7K 0603 1%</v>
          </cell>
          <cell r="B212" t="str">
            <v>101.1.0011</v>
          </cell>
        </row>
        <row r="213">
          <cell r="A213" t="str">
            <v>470E 1206 1%</v>
          </cell>
          <cell r="B213" t="str">
            <v>101.1.0033</v>
          </cell>
        </row>
        <row r="214">
          <cell r="A214" t="str">
            <v>100K 0805 1%</v>
          </cell>
          <cell r="B214" t="str">
            <v>101.2.0019</v>
          </cell>
        </row>
        <row r="215">
          <cell r="A215" t="str">
            <v>0 E 0805 1%</v>
          </cell>
          <cell r="B215" t="str">
            <v>101.2.0049</v>
          </cell>
        </row>
        <row r="216">
          <cell r="A216" t="str">
            <v>2E 0805 1%</v>
          </cell>
          <cell r="B216" t="str">
            <v>101.2.0003</v>
          </cell>
        </row>
        <row r="217">
          <cell r="A217" t="str">
            <v>1K 0805 1%</v>
          </cell>
          <cell r="B217" t="str">
            <v>101.2.0013</v>
          </cell>
        </row>
        <row r="218">
          <cell r="A218" t="str">
            <v>0E 0805 1%</v>
          </cell>
          <cell r="B218" t="str">
            <v>101.2.0001</v>
          </cell>
        </row>
        <row r="219">
          <cell r="A219" t="str">
            <v>22E 0805 1%</v>
          </cell>
          <cell r="B219" t="str">
            <v>101.2.0005</v>
          </cell>
        </row>
        <row r="220">
          <cell r="A220" t="str">
            <v>100E 0805 1%</v>
          </cell>
          <cell r="B220" t="str">
            <v>101.2.0008</v>
          </cell>
        </row>
        <row r="221">
          <cell r="A221" t="str">
            <v>1K 0805 1%</v>
          </cell>
          <cell r="B221" t="str">
            <v>101.2.0013</v>
          </cell>
        </row>
        <row r="222">
          <cell r="A222" t="str">
            <v>10K 0805 1%</v>
          </cell>
          <cell r="B222" t="str">
            <v>101.2.0015</v>
          </cell>
        </row>
        <row r="223">
          <cell r="A223" t="str">
            <v>3K 0805 1%</v>
          </cell>
          <cell r="B223" t="str">
            <v>101.2.0050</v>
          </cell>
        </row>
        <row r="224">
          <cell r="A224" t="str">
            <v>22K 0805 1%</v>
          </cell>
          <cell r="B224" t="str">
            <v>101.2.0051</v>
          </cell>
        </row>
        <row r="225">
          <cell r="A225" t="str">
            <v>27K 0805 1%</v>
          </cell>
          <cell r="B225" t="str">
            <v>101.2.0016</v>
          </cell>
        </row>
        <row r="226">
          <cell r="A226" t="str">
            <v>12K 0805 1%</v>
          </cell>
          <cell r="B226" t="str">
            <v>101.2.0052</v>
          </cell>
        </row>
        <row r="227">
          <cell r="A227" t="str">
            <v>13K 0805 1%</v>
          </cell>
          <cell r="B227" t="str">
            <v>101.2.0053</v>
          </cell>
        </row>
        <row r="228">
          <cell r="A228" t="str">
            <v>100E 0805 1%</v>
          </cell>
          <cell r="B228" t="str">
            <v>101.2.0008</v>
          </cell>
        </row>
        <row r="229">
          <cell r="A229" t="str">
            <v>22K 0805 1%</v>
          </cell>
          <cell r="B229" t="str">
            <v>101.2.0051</v>
          </cell>
        </row>
        <row r="230">
          <cell r="A230" t="str">
            <v>22M 1206 1%</v>
          </cell>
          <cell r="B230" t="str">
            <v>101.3.0036</v>
          </cell>
        </row>
        <row r="231">
          <cell r="A231" t="str">
            <v>2.2K 1206 1%</v>
          </cell>
          <cell r="B231" t="str">
            <v>101.3.0030</v>
          </cell>
        </row>
        <row r="232">
          <cell r="A232" t="str">
            <v>1K 1206 1%</v>
          </cell>
          <cell r="B232" t="str">
            <v>101.3.0038</v>
          </cell>
        </row>
        <row r="233">
          <cell r="A233" t="str">
            <v>560K 1206 1%</v>
          </cell>
          <cell r="B233" t="str">
            <v>101.3.0039</v>
          </cell>
        </row>
        <row r="234">
          <cell r="A234" t="str">
            <v>43E 1206 1%</v>
          </cell>
          <cell r="B234" t="str">
            <v>101.3.0040</v>
          </cell>
        </row>
        <row r="235">
          <cell r="A235" t="str">
            <v>120E 1206 1%</v>
          </cell>
          <cell r="B235" t="str">
            <v>101.3.0034</v>
          </cell>
        </row>
        <row r="236">
          <cell r="A236" t="str">
            <v>62E 1206 1%</v>
          </cell>
          <cell r="B236" t="str">
            <v>101.3.0008</v>
          </cell>
        </row>
        <row r="237">
          <cell r="A237" t="str">
            <v>3mE 2512 1%</v>
          </cell>
          <cell r="B237" t="str">
            <v>101.8.0002</v>
          </cell>
        </row>
        <row r="238">
          <cell r="A238" t="str">
            <v>10mE 2512 1%</v>
          </cell>
          <cell r="B238" t="str">
            <v>101.7.0001</v>
          </cell>
        </row>
        <row r="239">
          <cell r="A239" t="str">
            <v>1mE 2512 1%</v>
          </cell>
          <cell r="B239" t="str">
            <v>101.7.0002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A93C-1765-4812-A074-475EF7CEAC67}">
  <dimension ref="A2:N141"/>
  <sheetViews>
    <sheetView tabSelected="1" workbookViewId="0">
      <selection activeCell="I8" sqref="I8"/>
    </sheetView>
  </sheetViews>
  <sheetFormatPr defaultRowHeight="14.25" x14ac:dyDescent="0.45"/>
  <cols>
    <col min="1" max="1" width="17.1328125" bestFit="1" customWidth="1"/>
    <col min="2" max="2" width="13.265625" bestFit="1" customWidth="1"/>
    <col min="3" max="3" width="22" bestFit="1" customWidth="1"/>
    <col min="4" max="4" width="20.59765625" style="16" bestFit="1" customWidth="1"/>
    <col min="5" max="5" width="9.06640625" style="8"/>
    <col min="9" max="9" width="11" bestFit="1" customWidth="1"/>
    <col min="10" max="10" width="15.59765625" bestFit="1" customWidth="1"/>
  </cols>
  <sheetData>
    <row r="2" spans="1:6" x14ac:dyDescent="0.45">
      <c r="A2" s="1" t="s">
        <v>0</v>
      </c>
      <c r="B2" s="1" t="s">
        <v>1</v>
      </c>
      <c r="C2" s="1" t="s">
        <v>2</v>
      </c>
      <c r="D2" s="3" t="s">
        <v>3</v>
      </c>
      <c r="E2" s="2" t="s">
        <v>4</v>
      </c>
      <c r="F2" s="1" t="s">
        <v>5</v>
      </c>
    </row>
    <row r="3" spans="1:6" x14ac:dyDescent="0.45">
      <c r="A3" s="1" t="str">
        <f>VLOOKUP(B3,[1]Resistor!$A$2:$B$239,2,0)</f>
        <v>101.1.0015</v>
      </c>
      <c r="B3" s="1" t="s">
        <v>6</v>
      </c>
      <c r="C3" s="1" t="s">
        <v>7</v>
      </c>
      <c r="D3" s="3" t="s">
        <v>8</v>
      </c>
      <c r="E3" s="2">
        <v>4700</v>
      </c>
      <c r="F3" s="1" t="s">
        <v>9</v>
      </c>
    </row>
    <row r="4" spans="1:6" x14ac:dyDescent="0.45">
      <c r="A4" s="1" t="s">
        <v>10</v>
      </c>
      <c r="B4" s="1" t="s">
        <v>11</v>
      </c>
      <c r="C4" s="1" t="s">
        <v>12</v>
      </c>
      <c r="D4" s="3" t="s">
        <v>8</v>
      </c>
      <c r="E4" s="2">
        <v>4900</v>
      </c>
      <c r="F4" s="1" t="s">
        <v>9</v>
      </c>
    </row>
    <row r="5" spans="1:6" x14ac:dyDescent="0.45">
      <c r="A5" s="1" t="str">
        <f>VLOOKUP(B5,[1]Resistor!$A$2:$B$239,2,0)</f>
        <v>101.1.0033</v>
      </c>
      <c r="B5" s="1" t="s">
        <v>13</v>
      </c>
      <c r="C5" s="1" t="s">
        <v>14</v>
      </c>
      <c r="D5" s="3" t="s">
        <v>15</v>
      </c>
      <c r="E5" s="2">
        <v>7000</v>
      </c>
      <c r="F5" s="1" t="s">
        <v>9</v>
      </c>
    </row>
    <row r="6" spans="1:6" x14ac:dyDescent="0.45">
      <c r="A6" s="1" t="str">
        <f>VLOOKUP(B6,[1]Resistor!$A$2:$B$239,2,0)</f>
        <v>101.1.0057</v>
      </c>
      <c r="B6" s="1" t="s">
        <v>16</v>
      </c>
      <c r="C6" s="1" t="s">
        <v>17</v>
      </c>
      <c r="D6" s="3" t="s">
        <v>15</v>
      </c>
      <c r="E6" s="2">
        <v>2500</v>
      </c>
      <c r="F6" s="1" t="s">
        <v>9</v>
      </c>
    </row>
    <row r="7" spans="1:6" x14ac:dyDescent="0.45">
      <c r="A7" s="1" t="str">
        <f>VLOOKUP(B7,[1]Resistor!$A$2:$B$239,2,0)</f>
        <v>101.1.0030</v>
      </c>
      <c r="B7" s="1" t="s">
        <v>18</v>
      </c>
      <c r="C7" s="1" t="s">
        <v>19</v>
      </c>
      <c r="D7" s="3" t="s">
        <v>20</v>
      </c>
      <c r="E7" s="2">
        <v>4700</v>
      </c>
      <c r="F7" s="1" t="s">
        <v>9</v>
      </c>
    </row>
    <row r="8" spans="1:6" x14ac:dyDescent="0.45">
      <c r="A8" s="1" t="str">
        <f>VLOOKUP(B8,[1]Resistor!$A$2:$B$239,2,0)</f>
        <v>101.1.0024</v>
      </c>
      <c r="B8" s="1" t="s">
        <v>21</v>
      </c>
      <c r="C8" s="1" t="s">
        <v>22</v>
      </c>
      <c r="D8" s="3" t="s">
        <v>20</v>
      </c>
      <c r="E8" s="2">
        <v>4900</v>
      </c>
      <c r="F8" s="1" t="s">
        <v>9</v>
      </c>
    </row>
    <row r="9" spans="1:6" x14ac:dyDescent="0.45">
      <c r="A9" s="1" t="str">
        <f>VLOOKUP(B9,[1]Resistor!$A$2:$B$239,2,0)</f>
        <v>101.1.0026</v>
      </c>
      <c r="B9" s="1" t="s">
        <v>23</v>
      </c>
      <c r="C9" s="1" t="s">
        <v>24</v>
      </c>
      <c r="D9" s="3" t="s">
        <v>20</v>
      </c>
      <c r="E9" s="2">
        <v>4700</v>
      </c>
      <c r="F9" s="1" t="s">
        <v>9</v>
      </c>
    </row>
    <row r="10" spans="1:6" x14ac:dyDescent="0.45">
      <c r="A10" s="1" t="str">
        <f>VLOOKUP(B10,[1]Resistor!$A$2:$B$239,2,0)</f>
        <v>101.1.0053</v>
      </c>
      <c r="B10" s="1" t="s">
        <v>25</v>
      </c>
      <c r="C10" s="1" t="s">
        <v>26</v>
      </c>
      <c r="D10" s="3" t="s">
        <v>27</v>
      </c>
      <c r="E10" s="2">
        <v>4000</v>
      </c>
      <c r="F10" s="1" t="s">
        <v>9</v>
      </c>
    </row>
    <row r="11" spans="1:6" x14ac:dyDescent="0.45">
      <c r="A11" s="1" t="str">
        <f>VLOOKUP(B11,[1]Resistor!$A$2:$B$239,2,0)</f>
        <v>101.1.0014</v>
      </c>
      <c r="B11" s="1" t="s">
        <v>28</v>
      </c>
      <c r="C11" s="1" t="s">
        <v>29</v>
      </c>
      <c r="D11" s="3" t="s">
        <v>20</v>
      </c>
      <c r="E11" s="2">
        <v>4700</v>
      </c>
      <c r="F11" s="1" t="s">
        <v>9</v>
      </c>
    </row>
    <row r="12" spans="1:6" x14ac:dyDescent="0.45">
      <c r="A12" s="1" t="str">
        <f>VLOOKUP(B12,[1]Resistor!$A$2:$B$239,2,0)</f>
        <v>101.1.0029</v>
      </c>
      <c r="B12" s="1" t="s">
        <v>30</v>
      </c>
      <c r="C12" s="1" t="s">
        <v>31</v>
      </c>
      <c r="D12" s="3" t="s">
        <v>15</v>
      </c>
      <c r="E12" s="2">
        <v>8000</v>
      </c>
      <c r="F12" s="1" t="s">
        <v>9</v>
      </c>
    </row>
    <row r="13" spans="1:6" x14ac:dyDescent="0.45">
      <c r="A13" s="1" t="s">
        <v>32</v>
      </c>
      <c r="B13" s="1" t="s">
        <v>33</v>
      </c>
      <c r="C13" s="1" t="s">
        <v>34</v>
      </c>
      <c r="D13" s="3" t="s">
        <v>8</v>
      </c>
      <c r="E13" s="2">
        <v>4500</v>
      </c>
      <c r="F13" s="1" t="s">
        <v>9</v>
      </c>
    </row>
    <row r="14" spans="1:6" x14ac:dyDescent="0.45">
      <c r="A14" s="1" t="str">
        <f>VLOOKUP(B14,[1]Resistor!$A$2:$B$239,2,0)</f>
        <v>101.1.0027</v>
      </c>
      <c r="B14" s="1" t="s">
        <v>35</v>
      </c>
      <c r="C14" s="1" t="s">
        <v>36</v>
      </c>
      <c r="D14" s="3" t="s">
        <v>37</v>
      </c>
      <c r="E14" s="2">
        <v>8000</v>
      </c>
      <c r="F14" s="1" t="s">
        <v>9</v>
      </c>
    </row>
    <row r="15" spans="1:6" x14ac:dyDescent="0.45">
      <c r="A15" s="1" t="s">
        <v>38</v>
      </c>
      <c r="B15" s="1" t="s">
        <v>39</v>
      </c>
      <c r="C15" s="1" t="s">
        <v>40</v>
      </c>
      <c r="D15" s="3" t="s">
        <v>8</v>
      </c>
      <c r="E15" s="2">
        <v>1500</v>
      </c>
      <c r="F15" s="1" t="s">
        <v>9</v>
      </c>
    </row>
    <row r="16" spans="1:6" x14ac:dyDescent="0.45">
      <c r="A16" s="1" t="s">
        <v>41</v>
      </c>
      <c r="B16" s="1" t="s">
        <v>42</v>
      </c>
      <c r="C16" s="1" t="s">
        <v>43</v>
      </c>
      <c r="D16" s="3" t="s">
        <v>20</v>
      </c>
      <c r="E16" s="2">
        <v>4600</v>
      </c>
      <c r="F16" s="1" t="s">
        <v>9</v>
      </c>
    </row>
    <row r="17" spans="1:6" x14ac:dyDescent="0.45">
      <c r="A17" s="1" t="str">
        <f>VLOOKUP(B17,[1]Resistor!$A$2:$B$239,2,0)</f>
        <v>101.1.0022</v>
      </c>
      <c r="B17" s="1" t="s">
        <v>44</v>
      </c>
      <c r="C17" s="1" t="s">
        <v>45</v>
      </c>
      <c r="D17" s="3" t="s">
        <v>37</v>
      </c>
      <c r="E17" s="2">
        <v>8000</v>
      </c>
      <c r="F17" s="1" t="s">
        <v>9</v>
      </c>
    </row>
    <row r="18" spans="1:6" x14ac:dyDescent="0.45">
      <c r="A18" s="1" t="str">
        <f>VLOOKUP(B18,[1]Resistor!$A$2:$B$239,2,0)</f>
        <v>101.1.0003</v>
      </c>
      <c r="B18" s="1" t="s">
        <v>46</v>
      </c>
      <c r="C18" s="1" t="s">
        <v>47</v>
      </c>
      <c r="D18" s="3" t="s">
        <v>20</v>
      </c>
      <c r="E18" s="2">
        <v>4300</v>
      </c>
      <c r="F18" s="1" t="s">
        <v>9</v>
      </c>
    </row>
    <row r="19" spans="1:6" x14ac:dyDescent="0.45">
      <c r="A19" s="1" t="str">
        <f>VLOOKUP(B19,[1]Resistor!$A$2:$B$239,2,0)</f>
        <v>101.1.0069</v>
      </c>
      <c r="B19" s="1" t="s">
        <v>48</v>
      </c>
      <c r="C19" s="1" t="s">
        <v>49</v>
      </c>
      <c r="D19" s="3" t="s">
        <v>27</v>
      </c>
      <c r="E19" s="2">
        <v>4000</v>
      </c>
      <c r="F19" s="1" t="s">
        <v>9</v>
      </c>
    </row>
    <row r="20" spans="1:6" x14ac:dyDescent="0.45">
      <c r="A20" s="1" t="s">
        <v>50</v>
      </c>
      <c r="B20" s="1" t="s">
        <v>51</v>
      </c>
      <c r="C20" s="1" t="s">
        <v>52</v>
      </c>
      <c r="D20" s="3" t="s">
        <v>20</v>
      </c>
      <c r="E20" s="2">
        <v>4600</v>
      </c>
      <c r="F20" s="1" t="s">
        <v>9</v>
      </c>
    </row>
    <row r="21" spans="1:6" x14ac:dyDescent="0.45">
      <c r="A21" s="1" t="str">
        <f>VLOOKUP(B21,[1]Resistor!$A$2:$B$239,2,0)</f>
        <v>101.1.0048</v>
      </c>
      <c r="B21" s="1" t="s">
        <v>53</v>
      </c>
      <c r="C21" s="1" t="s">
        <v>54</v>
      </c>
      <c r="D21" s="3" t="s">
        <v>27</v>
      </c>
      <c r="E21" s="2">
        <v>4000</v>
      </c>
      <c r="F21" s="1" t="s">
        <v>9</v>
      </c>
    </row>
    <row r="22" spans="1:6" x14ac:dyDescent="0.45">
      <c r="A22" s="1" t="str">
        <f>VLOOKUP(B22,[1]Resistor!$A$2:$B$239,2,0)</f>
        <v>101.1.0012</v>
      </c>
      <c r="B22" s="1" t="s">
        <v>55</v>
      </c>
      <c r="C22" s="1" t="s">
        <v>56</v>
      </c>
      <c r="D22" s="3" t="s">
        <v>8</v>
      </c>
      <c r="E22" s="2">
        <v>9000</v>
      </c>
      <c r="F22" s="1" t="s">
        <v>9</v>
      </c>
    </row>
    <row r="23" spans="1:6" x14ac:dyDescent="0.45">
      <c r="A23" s="1" t="str">
        <f>VLOOKUP(B23,[1]Resistor!$A$2:$B$239,2,0)</f>
        <v>101.1.0025</v>
      </c>
      <c r="B23" s="1" t="s">
        <v>57</v>
      </c>
      <c r="C23" s="1" t="s">
        <v>58</v>
      </c>
      <c r="D23" s="3" t="s">
        <v>20</v>
      </c>
      <c r="E23" s="2">
        <v>4300</v>
      </c>
      <c r="F23" s="1" t="s">
        <v>9</v>
      </c>
    </row>
    <row r="24" spans="1:6" x14ac:dyDescent="0.45">
      <c r="A24" s="1" t="str">
        <f>VLOOKUP(B24,[1]Resistor!$A$2:$B$239,2,0)</f>
        <v>101.1.0041</v>
      </c>
      <c r="B24" s="1" t="s">
        <v>59</v>
      </c>
      <c r="C24" s="1" t="s">
        <v>60</v>
      </c>
      <c r="D24" s="3" t="s">
        <v>15</v>
      </c>
      <c r="E24" s="2">
        <v>2700</v>
      </c>
      <c r="F24" s="1" t="s">
        <v>9</v>
      </c>
    </row>
    <row r="25" spans="1:6" x14ac:dyDescent="0.45">
      <c r="A25" s="1" t="str">
        <f>VLOOKUP(B25,[1]Resistor!$A$2:$B$239,2,0)</f>
        <v>101.1.0065</v>
      </c>
      <c r="B25" s="1" t="s">
        <v>61</v>
      </c>
      <c r="C25" s="1" t="s">
        <v>62</v>
      </c>
      <c r="D25" s="3" t="s">
        <v>8</v>
      </c>
      <c r="E25" s="2">
        <v>4400</v>
      </c>
      <c r="F25" s="1" t="s">
        <v>9</v>
      </c>
    </row>
    <row r="26" spans="1:6" x14ac:dyDescent="0.45">
      <c r="A26" s="1" t="str">
        <f>VLOOKUP(B26,[1]Resistor!$A$2:$B$239,2,0)</f>
        <v>101.1.0005</v>
      </c>
      <c r="B26" s="1" t="s">
        <v>63</v>
      </c>
      <c r="C26" s="1" t="s">
        <v>64</v>
      </c>
      <c r="D26" s="3" t="s">
        <v>37</v>
      </c>
      <c r="E26" s="2">
        <v>4850</v>
      </c>
      <c r="F26" s="1" t="s">
        <v>9</v>
      </c>
    </row>
    <row r="27" spans="1:6" x14ac:dyDescent="0.45">
      <c r="A27" s="1" t="s">
        <v>65</v>
      </c>
      <c r="B27" s="1" t="s">
        <v>66</v>
      </c>
      <c r="C27" s="1" t="s">
        <v>67</v>
      </c>
      <c r="D27" s="3" t="s">
        <v>20</v>
      </c>
      <c r="E27" s="2">
        <v>4800</v>
      </c>
      <c r="F27" s="1" t="s">
        <v>9</v>
      </c>
    </row>
    <row r="28" spans="1:6" x14ac:dyDescent="0.45">
      <c r="A28" s="1" t="str">
        <f>VLOOKUP(B28,[1]Resistor!$A$2:$B$239,2,0)</f>
        <v>101.1.0023</v>
      </c>
      <c r="B28" s="1" t="s">
        <v>68</v>
      </c>
      <c r="C28" s="1" t="s">
        <v>69</v>
      </c>
      <c r="D28" s="3" t="s">
        <v>8</v>
      </c>
      <c r="E28" s="2">
        <v>4500</v>
      </c>
      <c r="F28" s="1" t="s">
        <v>9</v>
      </c>
    </row>
    <row r="29" spans="1:6" x14ac:dyDescent="0.45">
      <c r="A29" s="1" t="str">
        <f>VLOOKUP(B29,[1]Resistor!$A$2:$B$239,2,0)</f>
        <v>101.1.0001</v>
      </c>
      <c r="B29" s="1" t="s">
        <v>70</v>
      </c>
      <c r="C29" s="1" t="s">
        <v>71</v>
      </c>
      <c r="D29" s="3" t="s">
        <v>8</v>
      </c>
      <c r="E29" s="2">
        <v>4100</v>
      </c>
      <c r="F29" s="1" t="s">
        <v>9</v>
      </c>
    </row>
    <row r="30" spans="1:6" x14ac:dyDescent="0.45">
      <c r="A30" s="1" t="str">
        <f>VLOOKUP(B30,[1]Resistor!$A$2:$B$239,2,0)</f>
        <v>101.1.0045</v>
      </c>
      <c r="B30" s="1" t="s">
        <v>72</v>
      </c>
      <c r="C30" s="1" t="s">
        <v>73</v>
      </c>
      <c r="D30" s="3" t="s">
        <v>27</v>
      </c>
      <c r="E30" s="2">
        <v>4000</v>
      </c>
      <c r="F30" s="1" t="s">
        <v>9</v>
      </c>
    </row>
    <row r="31" spans="1:6" x14ac:dyDescent="0.45">
      <c r="A31" s="1" t="str">
        <f>VLOOKUP(B31,[1]Resistor!$A$2:$B$239,2,0)</f>
        <v>101.1.0039</v>
      </c>
      <c r="B31" s="1" t="s">
        <v>74</v>
      </c>
      <c r="C31" s="1" t="s">
        <v>75</v>
      </c>
      <c r="D31" s="3" t="s">
        <v>20</v>
      </c>
      <c r="E31" s="2">
        <v>4800</v>
      </c>
      <c r="F31" s="1" t="s">
        <v>9</v>
      </c>
    </row>
    <row r="32" spans="1:6" x14ac:dyDescent="0.45">
      <c r="A32" s="1" t="str">
        <f>VLOOKUP(B32,[1]Resistor!$A$2:$B$239,2,0)</f>
        <v>101.1.0008</v>
      </c>
      <c r="B32" s="1" t="s">
        <v>76</v>
      </c>
      <c r="C32" s="1" t="s">
        <v>77</v>
      </c>
      <c r="D32" s="3" t="s">
        <v>8</v>
      </c>
      <c r="E32" s="2">
        <v>4100</v>
      </c>
      <c r="F32" s="1" t="s">
        <v>9</v>
      </c>
    </row>
    <row r="33" spans="1:6" x14ac:dyDescent="0.45">
      <c r="A33" s="1" t="str">
        <f>VLOOKUP(B33,[1]Resistor!$A$2:$B$239,2,0)</f>
        <v>101.1.0018</v>
      </c>
      <c r="B33" s="1" t="s">
        <v>78</v>
      </c>
      <c r="C33" s="1" t="s">
        <v>79</v>
      </c>
      <c r="D33" s="3" t="s">
        <v>20</v>
      </c>
      <c r="E33" s="2">
        <v>2700</v>
      </c>
      <c r="F33" s="1" t="s">
        <v>9</v>
      </c>
    </row>
    <row r="34" spans="1:6" x14ac:dyDescent="0.45">
      <c r="A34" s="1" t="str">
        <f>VLOOKUP(B34,[1]Resistor!$A$2:$B$239,2,0)</f>
        <v>101.1.0028</v>
      </c>
      <c r="B34" s="1" t="s">
        <v>80</v>
      </c>
      <c r="C34" s="1" t="s">
        <v>81</v>
      </c>
      <c r="D34" s="3" t="s">
        <v>8</v>
      </c>
      <c r="E34" s="2">
        <v>6000</v>
      </c>
      <c r="F34" s="1" t="s">
        <v>9</v>
      </c>
    </row>
    <row r="35" spans="1:6" x14ac:dyDescent="0.45">
      <c r="A35" s="1" t="s">
        <v>82</v>
      </c>
      <c r="B35" s="1" t="s">
        <v>83</v>
      </c>
      <c r="C35" s="1" t="s">
        <v>84</v>
      </c>
      <c r="D35" s="3" t="s">
        <v>37</v>
      </c>
      <c r="E35" s="2">
        <v>7000</v>
      </c>
      <c r="F35" s="1" t="s">
        <v>9</v>
      </c>
    </row>
    <row r="36" spans="1:6" x14ac:dyDescent="0.45">
      <c r="A36" s="1" t="s">
        <v>85</v>
      </c>
      <c r="B36" s="1" t="s">
        <v>86</v>
      </c>
      <c r="C36" s="1" t="s">
        <v>87</v>
      </c>
      <c r="D36" s="3" t="s">
        <v>20</v>
      </c>
      <c r="E36" s="2">
        <v>4700</v>
      </c>
      <c r="F36" s="1" t="s">
        <v>9</v>
      </c>
    </row>
    <row r="37" spans="1:6" x14ac:dyDescent="0.45">
      <c r="A37" s="1" t="str">
        <f>VLOOKUP(B37,[1]Resistor!$A$2:$B$239,2,0)</f>
        <v>101.1.0002</v>
      </c>
      <c r="B37" s="1" t="s">
        <v>88</v>
      </c>
      <c r="C37" s="1" t="s">
        <v>89</v>
      </c>
      <c r="D37" s="3" t="s">
        <v>37</v>
      </c>
      <c r="E37" s="2">
        <v>4700</v>
      </c>
      <c r="F37" s="1" t="s">
        <v>9</v>
      </c>
    </row>
    <row r="38" spans="1:6" x14ac:dyDescent="0.45">
      <c r="A38" s="1" t="str">
        <f>VLOOKUP(B38,[1]Resistor!$A$2:$B$239,2,0)</f>
        <v>101.1.0025</v>
      </c>
      <c r="B38" s="1" t="s">
        <v>57</v>
      </c>
      <c r="C38" s="1" t="s">
        <v>90</v>
      </c>
      <c r="D38" s="3" t="s">
        <v>8</v>
      </c>
      <c r="E38" s="2">
        <v>4000</v>
      </c>
      <c r="F38" s="1" t="s">
        <v>9</v>
      </c>
    </row>
    <row r="39" spans="1:6" x14ac:dyDescent="0.45">
      <c r="A39" s="1" t="s">
        <v>91</v>
      </c>
      <c r="B39" s="4" t="s">
        <v>30</v>
      </c>
      <c r="C39" s="4" t="s">
        <v>92</v>
      </c>
      <c r="D39" s="5" t="s">
        <v>93</v>
      </c>
      <c r="E39" s="4">
        <v>3000</v>
      </c>
      <c r="F39" s="1" t="s">
        <v>94</v>
      </c>
    </row>
    <row r="40" spans="1:6" x14ac:dyDescent="0.45">
      <c r="A40" s="1" t="s">
        <v>38</v>
      </c>
      <c r="B40" s="4" t="s">
        <v>39</v>
      </c>
      <c r="C40" s="4" t="s">
        <v>95</v>
      </c>
      <c r="D40" s="5" t="s">
        <v>96</v>
      </c>
      <c r="E40" s="4">
        <v>3500</v>
      </c>
      <c r="F40" s="1" t="s">
        <v>94</v>
      </c>
    </row>
    <row r="41" spans="1:6" x14ac:dyDescent="0.45">
      <c r="A41" s="1" t="s">
        <v>97</v>
      </c>
      <c r="B41" s="4" t="s">
        <v>13</v>
      </c>
      <c r="C41" s="4" t="s">
        <v>98</v>
      </c>
      <c r="D41" s="5" t="s">
        <v>93</v>
      </c>
      <c r="E41" s="4">
        <v>1500</v>
      </c>
      <c r="F41" s="1" t="s">
        <v>94</v>
      </c>
    </row>
    <row r="42" spans="1:6" x14ac:dyDescent="0.45">
      <c r="A42" s="1" t="s">
        <v>99</v>
      </c>
      <c r="B42" s="4" t="s">
        <v>100</v>
      </c>
      <c r="C42" s="4" t="s">
        <v>101</v>
      </c>
      <c r="D42" s="5" t="s">
        <v>93</v>
      </c>
      <c r="E42" s="4">
        <v>4500</v>
      </c>
      <c r="F42" s="1" t="s">
        <v>94</v>
      </c>
    </row>
    <row r="43" spans="1:6" x14ac:dyDescent="0.45">
      <c r="A43" s="1" t="s">
        <v>102</v>
      </c>
      <c r="B43" s="4" t="s">
        <v>63</v>
      </c>
      <c r="C43" s="4" t="s">
        <v>103</v>
      </c>
      <c r="D43" s="5" t="s">
        <v>96</v>
      </c>
      <c r="E43" s="4">
        <v>2000</v>
      </c>
      <c r="F43" s="1" t="s">
        <v>94</v>
      </c>
    </row>
    <row r="44" spans="1:6" x14ac:dyDescent="0.45">
      <c r="A44" s="1" t="s">
        <v>10</v>
      </c>
      <c r="B44" s="4" t="s">
        <v>11</v>
      </c>
      <c r="C44" s="4" t="s">
        <v>104</v>
      </c>
      <c r="D44" s="5" t="s">
        <v>27</v>
      </c>
      <c r="E44" s="4">
        <v>3500</v>
      </c>
      <c r="F44" s="1" t="s">
        <v>94</v>
      </c>
    </row>
    <row r="45" spans="1:6" x14ac:dyDescent="0.45">
      <c r="A45" s="1" t="s">
        <v>105</v>
      </c>
      <c r="B45" s="4" t="s">
        <v>106</v>
      </c>
      <c r="C45" s="4" t="s">
        <v>107</v>
      </c>
      <c r="D45" s="5" t="s">
        <v>27</v>
      </c>
      <c r="E45" s="4">
        <v>3500</v>
      </c>
      <c r="F45" s="1" t="s">
        <v>94</v>
      </c>
    </row>
    <row r="46" spans="1:6" x14ac:dyDescent="0.45">
      <c r="A46" s="1" t="s">
        <v>108</v>
      </c>
      <c r="B46" s="4" t="s">
        <v>109</v>
      </c>
      <c r="C46" s="4" t="s">
        <v>110</v>
      </c>
      <c r="D46" s="5" t="s">
        <v>96</v>
      </c>
      <c r="E46" s="4">
        <v>4800</v>
      </c>
      <c r="F46" s="1" t="s">
        <v>94</v>
      </c>
    </row>
    <row r="47" spans="1:6" x14ac:dyDescent="0.45">
      <c r="A47" s="1" t="s">
        <v>111</v>
      </c>
      <c r="B47" s="4" t="s">
        <v>112</v>
      </c>
      <c r="C47" s="4" t="s">
        <v>113</v>
      </c>
      <c r="D47" s="5" t="s">
        <v>114</v>
      </c>
      <c r="E47" s="4">
        <v>3500</v>
      </c>
      <c r="F47" s="1" t="s">
        <v>94</v>
      </c>
    </row>
    <row r="48" spans="1:6" x14ac:dyDescent="0.45">
      <c r="A48" s="1" t="s">
        <v>115</v>
      </c>
      <c r="B48" s="4" t="s">
        <v>116</v>
      </c>
      <c r="C48" s="4" t="s">
        <v>117</v>
      </c>
      <c r="D48" s="5" t="s">
        <v>118</v>
      </c>
      <c r="E48" s="4">
        <v>4800</v>
      </c>
      <c r="F48" s="1" t="s">
        <v>94</v>
      </c>
    </row>
    <row r="49" spans="1:6" x14ac:dyDescent="0.45">
      <c r="A49" s="1" t="s">
        <v>119</v>
      </c>
      <c r="B49" s="4" t="s">
        <v>55</v>
      </c>
      <c r="C49" s="4" t="s">
        <v>120</v>
      </c>
      <c r="D49" s="5" t="s">
        <v>27</v>
      </c>
      <c r="E49" s="4">
        <v>1000</v>
      </c>
      <c r="F49" s="1" t="s">
        <v>94</v>
      </c>
    </row>
    <row r="50" spans="1:6" x14ac:dyDescent="0.45">
      <c r="A50" s="1" t="s">
        <v>121</v>
      </c>
      <c r="B50" s="4" t="s">
        <v>88</v>
      </c>
      <c r="C50" s="4" t="s">
        <v>122</v>
      </c>
      <c r="D50" s="5" t="s">
        <v>123</v>
      </c>
      <c r="E50" s="4">
        <v>5000</v>
      </c>
      <c r="F50" s="1" t="s">
        <v>94</v>
      </c>
    </row>
    <row r="51" spans="1:6" x14ac:dyDescent="0.45">
      <c r="A51" s="1" t="s">
        <v>124</v>
      </c>
      <c r="B51" s="4" t="s">
        <v>125</v>
      </c>
      <c r="C51" s="4" t="s">
        <v>126</v>
      </c>
      <c r="D51" s="5" t="s">
        <v>127</v>
      </c>
      <c r="E51" s="4">
        <v>6500</v>
      </c>
      <c r="F51" s="1" t="s">
        <v>94</v>
      </c>
    </row>
    <row r="52" spans="1:6" x14ac:dyDescent="0.45">
      <c r="A52" s="1" t="s">
        <v>65</v>
      </c>
      <c r="B52" s="4" t="s">
        <v>66</v>
      </c>
      <c r="C52" s="4" t="s">
        <v>128</v>
      </c>
      <c r="D52" s="5" t="s">
        <v>96</v>
      </c>
      <c r="E52" s="4">
        <v>4600</v>
      </c>
      <c r="F52" s="1" t="s">
        <v>94</v>
      </c>
    </row>
    <row r="53" spans="1:6" x14ac:dyDescent="0.45">
      <c r="A53" s="1" t="s">
        <v>129</v>
      </c>
      <c r="B53" s="4" t="s">
        <v>130</v>
      </c>
      <c r="C53" s="4" t="s">
        <v>131</v>
      </c>
      <c r="D53" s="5" t="s">
        <v>27</v>
      </c>
      <c r="E53" s="4">
        <v>3500</v>
      </c>
      <c r="F53" s="1" t="s">
        <v>94</v>
      </c>
    </row>
    <row r="54" spans="1:6" x14ac:dyDescent="0.45">
      <c r="A54" s="1" t="s">
        <v>85</v>
      </c>
      <c r="B54" s="4" t="s">
        <v>86</v>
      </c>
      <c r="C54" s="4" t="s">
        <v>132</v>
      </c>
      <c r="D54" s="5" t="s">
        <v>127</v>
      </c>
      <c r="E54" s="4">
        <v>500</v>
      </c>
      <c r="F54" s="1" t="s">
        <v>94</v>
      </c>
    </row>
    <row r="55" spans="1:6" x14ac:dyDescent="0.45">
      <c r="A55" s="1" t="str">
        <f>VLOOKUP(B55,[1]Resistor!$A$2:$B$239,2,0)</f>
        <v>101.2.0051</v>
      </c>
      <c r="B55" s="1" t="s">
        <v>133</v>
      </c>
      <c r="C55" s="1" t="s">
        <v>134</v>
      </c>
      <c r="D55" s="3" t="s">
        <v>20</v>
      </c>
      <c r="E55" s="2">
        <v>4900</v>
      </c>
      <c r="F55" s="1" t="s">
        <v>9</v>
      </c>
    </row>
    <row r="56" spans="1:6" x14ac:dyDescent="0.45">
      <c r="A56" s="1" t="s">
        <v>135</v>
      </c>
      <c r="B56" s="1" t="s">
        <v>136</v>
      </c>
      <c r="C56" s="1" t="s">
        <v>137</v>
      </c>
      <c r="D56" s="3" t="s">
        <v>8</v>
      </c>
      <c r="E56" s="2">
        <v>4400</v>
      </c>
      <c r="F56" s="1" t="s">
        <v>9</v>
      </c>
    </row>
    <row r="57" spans="1:6" x14ac:dyDescent="0.45">
      <c r="A57" s="1" t="str">
        <f>VLOOKUP(B57,[1]Resistor!$A$2:$B$239,2,0)</f>
        <v>101.2.0005</v>
      </c>
      <c r="B57" s="1" t="s">
        <v>138</v>
      </c>
      <c r="C57" s="1" t="s">
        <v>139</v>
      </c>
      <c r="D57" s="3" t="s">
        <v>8</v>
      </c>
      <c r="E57" s="2">
        <v>4800</v>
      </c>
      <c r="F57" s="1" t="s">
        <v>9</v>
      </c>
    </row>
    <row r="58" spans="1:6" x14ac:dyDescent="0.45">
      <c r="A58" s="1" t="str">
        <f>VLOOKUP(B58,[1]Resistor!$A$2:$B$239,2,0)</f>
        <v>101.2.0014</v>
      </c>
      <c r="B58" s="1" t="s">
        <v>140</v>
      </c>
      <c r="C58" s="1" t="s">
        <v>141</v>
      </c>
      <c r="D58" s="3" t="s">
        <v>8</v>
      </c>
      <c r="E58" s="2">
        <v>4700</v>
      </c>
      <c r="F58" s="1" t="s">
        <v>9</v>
      </c>
    </row>
    <row r="59" spans="1:6" x14ac:dyDescent="0.45">
      <c r="A59" s="1" t="str">
        <f>VLOOKUP(B59,[1]Resistor!$A$2:$B$239,2,0)</f>
        <v>101.2.0004</v>
      </c>
      <c r="B59" s="1" t="s">
        <v>142</v>
      </c>
      <c r="C59" s="1" t="s">
        <v>143</v>
      </c>
      <c r="D59" s="3" t="s">
        <v>37</v>
      </c>
      <c r="E59" s="2">
        <v>4800</v>
      </c>
      <c r="F59" s="1" t="s">
        <v>9</v>
      </c>
    </row>
    <row r="60" spans="1:6" x14ac:dyDescent="0.45">
      <c r="A60" s="1" t="str">
        <f>VLOOKUP(B60,[1]Resistor!$A$2:$B$239,2,0)</f>
        <v>101.2.0008</v>
      </c>
      <c r="B60" s="1" t="s">
        <v>144</v>
      </c>
      <c r="C60" s="1" t="s">
        <v>145</v>
      </c>
      <c r="D60" s="3" t="s">
        <v>20</v>
      </c>
      <c r="E60" s="2">
        <v>4800</v>
      </c>
      <c r="F60" s="1" t="s">
        <v>9</v>
      </c>
    </row>
    <row r="61" spans="1:6" x14ac:dyDescent="0.45">
      <c r="A61" s="1" t="s">
        <v>146</v>
      </c>
      <c r="B61" s="1" t="s">
        <v>147</v>
      </c>
      <c r="C61" s="1" t="s">
        <v>148</v>
      </c>
      <c r="D61" s="3" t="s">
        <v>8</v>
      </c>
      <c r="E61" s="2">
        <v>3800</v>
      </c>
      <c r="F61" s="1" t="s">
        <v>9</v>
      </c>
    </row>
    <row r="62" spans="1:6" x14ac:dyDescent="0.45">
      <c r="A62" s="1" t="str">
        <f>VLOOKUP(B62,[1]Resistor!$A$2:$B$239,2,0)</f>
        <v>101.2.0019</v>
      </c>
      <c r="B62" s="1" t="s">
        <v>149</v>
      </c>
      <c r="C62" s="1" t="s">
        <v>150</v>
      </c>
      <c r="D62" s="3" t="s">
        <v>8</v>
      </c>
      <c r="E62" s="2">
        <v>2100</v>
      </c>
      <c r="F62" s="1" t="s">
        <v>9</v>
      </c>
    </row>
    <row r="63" spans="1:6" x14ac:dyDescent="0.45">
      <c r="A63" s="1" t="s">
        <v>151</v>
      </c>
      <c r="B63" s="4" t="s">
        <v>152</v>
      </c>
      <c r="C63" s="4" t="s">
        <v>153</v>
      </c>
      <c r="D63" s="5" t="s">
        <v>93</v>
      </c>
      <c r="E63" s="4">
        <v>4500</v>
      </c>
      <c r="F63" s="1" t="s">
        <v>94</v>
      </c>
    </row>
    <row r="64" spans="1:6" x14ac:dyDescent="0.45">
      <c r="A64" s="1" t="s">
        <v>154</v>
      </c>
      <c r="B64" s="4" t="s">
        <v>142</v>
      </c>
      <c r="C64" s="4" t="s">
        <v>155</v>
      </c>
      <c r="D64" s="5" t="s">
        <v>123</v>
      </c>
      <c r="E64" s="4">
        <v>4500</v>
      </c>
      <c r="F64" s="1" t="s">
        <v>94</v>
      </c>
    </row>
    <row r="65" spans="1:6" x14ac:dyDescent="0.45">
      <c r="A65" s="1" t="s">
        <v>156</v>
      </c>
      <c r="B65" s="4" t="s">
        <v>157</v>
      </c>
      <c r="C65" s="4" t="s">
        <v>158</v>
      </c>
      <c r="D65" s="5" t="s">
        <v>123</v>
      </c>
      <c r="E65" s="4">
        <v>4500</v>
      </c>
      <c r="F65" s="1" t="s">
        <v>94</v>
      </c>
    </row>
    <row r="66" spans="1:6" x14ac:dyDescent="0.45">
      <c r="A66" s="1" t="s">
        <v>159</v>
      </c>
      <c r="B66" s="4" t="s">
        <v>160</v>
      </c>
      <c r="C66" s="4" t="s">
        <v>161</v>
      </c>
      <c r="D66" s="5" t="s">
        <v>123</v>
      </c>
      <c r="E66" s="4">
        <v>4500</v>
      </c>
      <c r="F66" s="1" t="s">
        <v>94</v>
      </c>
    </row>
    <row r="67" spans="1:6" x14ac:dyDescent="0.45">
      <c r="A67" s="1" t="s">
        <v>162</v>
      </c>
      <c r="B67" s="4" t="s">
        <v>163</v>
      </c>
      <c r="C67" s="6" t="s">
        <v>164</v>
      </c>
      <c r="D67" s="5" t="s">
        <v>123</v>
      </c>
      <c r="E67" s="4">
        <v>5000</v>
      </c>
      <c r="F67" s="1" t="s">
        <v>94</v>
      </c>
    </row>
    <row r="68" spans="1:6" x14ac:dyDescent="0.45">
      <c r="A68" s="1" t="s">
        <v>165</v>
      </c>
      <c r="B68" s="4" t="s">
        <v>166</v>
      </c>
      <c r="C68" s="4" t="s">
        <v>167</v>
      </c>
      <c r="D68" s="5" t="s">
        <v>96</v>
      </c>
      <c r="E68" s="4">
        <v>1000</v>
      </c>
      <c r="F68" s="1" t="s">
        <v>94</v>
      </c>
    </row>
    <row r="69" spans="1:6" x14ac:dyDescent="0.45">
      <c r="A69" s="1" t="s">
        <v>168</v>
      </c>
      <c r="B69" s="4" t="s">
        <v>169</v>
      </c>
      <c r="C69" s="4" t="s">
        <v>170</v>
      </c>
      <c r="D69" s="5" t="s">
        <v>118</v>
      </c>
      <c r="E69" s="4">
        <v>4800</v>
      </c>
      <c r="F69" s="1" t="s">
        <v>94</v>
      </c>
    </row>
    <row r="70" spans="1:6" x14ac:dyDescent="0.45">
      <c r="A70" s="1" t="s">
        <v>171</v>
      </c>
      <c r="B70" s="4" t="s">
        <v>172</v>
      </c>
      <c r="C70" s="4" t="s">
        <v>173</v>
      </c>
      <c r="D70" s="5" t="s">
        <v>114</v>
      </c>
      <c r="E70" s="4">
        <v>4800</v>
      </c>
      <c r="F70" s="1" t="s">
        <v>94</v>
      </c>
    </row>
    <row r="71" spans="1:6" x14ac:dyDescent="0.45">
      <c r="A71" s="1" t="s">
        <v>174</v>
      </c>
      <c r="B71" s="4" t="s">
        <v>175</v>
      </c>
      <c r="C71" s="4" t="s">
        <v>176</v>
      </c>
      <c r="D71" s="5" t="s">
        <v>93</v>
      </c>
      <c r="E71" s="4">
        <v>4500</v>
      </c>
      <c r="F71" s="1" t="s">
        <v>94</v>
      </c>
    </row>
    <row r="72" spans="1:6" x14ac:dyDescent="0.45">
      <c r="A72" s="1" t="s">
        <v>177</v>
      </c>
      <c r="B72" s="4" t="s">
        <v>178</v>
      </c>
      <c r="C72" s="4" t="s">
        <v>179</v>
      </c>
      <c r="D72" s="5" t="s">
        <v>93</v>
      </c>
      <c r="E72" s="4">
        <v>7800</v>
      </c>
      <c r="F72" s="1" t="s">
        <v>94</v>
      </c>
    </row>
    <row r="73" spans="1:6" x14ac:dyDescent="0.45">
      <c r="A73" s="1" t="s">
        <v>180</v>
      </c>
      <c r="B73" s="4" t="s">
        <v>181</v>
      </c>
      <c r="C73" s="4" t="s">
        <v>182</v>
      </c>
      <c r="D73" s="5" t="s">
        <v>114</v>
      </c>
      <c r="E73" s="4">
        <v>4000</v>
      </c>
      <c r="F73" s="1" t="s">
        <v>94</v>
      </c>
    </row>
    <row r="74" spans="1:6" x14ac:dyDescent="0.45">
      <c r="A74" s="1" t="s">
        <v>183</v>
      </c>
      <c r="B74" s="4" t="s">
        <v>133</v>
      </c>
      <c r="C74" s="4" t="s">
        <v>134</v>
      </c>
      <c r="D74" s="5" t="s">
        <v>123</v>
      </c>
      <c r="E74" s="4">
        <v>4500</v>
      </c>
      <c r="F74" s="1" t="s">
        <v>94</v>
      </c>
    </row>
    <row r="75" spans="1:6" x14ac:dyDescent="0.45">
      <c r="A75" s="1" t="s">
        <v>184</v>
      </c>
      <c r="B75" s="4" t="s">
        <v>185</v>
      </c>
      <c r="C75" s="4" t="s">
        <v>186</v>
      </c>
      <c r="D75" s="5" t="s">
        <v>96</v>
      </c>
      <c r="E75" s="4">
        <v>1500</v>
      </c>
      <c r="F75" s="1" t="s">
        <v>94</v>
      </c>
    </row>
    <row r="76" spans="1:6" x14ac:dyDescent="0.45">
      <c r="A76" s="1" t="str">
        <f>VLOOKUP(B76,[1]Resistor!$A$2:$B$239,2,0)</f>
        <v>101.3.0008</v>
      </c>
      <c r="B76" s="1" t="s">
        <v>187</v>
      </c>
      <c r="C76" s="1" t="s">
        <v>188</v>
      </c>
      <c r="D76" s="3" t="s">
        <v>37</v>
      </c>
      <c r="E76" s="2">
        <v>4700</v>
      </c>
      <c r="F76" s="1" t="s">
        <v>9</v>
      </c>
    </row>
    <row r="77" spans="1:6" x14ac:dyDescent="0.45">
      <c r="A77" s="1" t="str">
        <f>VLOOKUP(B77,[1]Resistor!$A$2:$B$239,2,0)</f>
        <v>101.3.0021</v>
      </c>
      <c r="B77" s="1" t="s">
        <v>189</v>
      </c>
      <c r="C77" s="1" t="s">
        <v>190</v>
      </c>
      <c r="D77" s="3" t="s">
        <v>8</v>
      </c>
      <c r="E77" s="2">
        <v>4700</v>
      </c>
      <c r="F77" s="1" t="s">
        <v>9</v>
      </c>
    </row>
    <row r="78" spans="1:6" x14ac:dyDescent="0.45">
      <c r="A78" s="1" t="s">
        <v>191</v>
      </c>
      <c r="B78" s="1" t="s">
        <v>192</v>
      </c>
      <c r="C78" s="1" t="s">
        <v>193</v>
      </c>
      <c r="D78" s="3" t="s">
        <v>20</v>
      </c>
      <c r="E78" s="2">
        <v>4700</v>
      </c>
      <c r="F78" s="1" t="s">
        <v>9</v>
      </c>
    </row>
    <row r="79" spans="1:6" x14ac:dyDescent="0.45">
      <c r="A79" s="1" t="str">
        <f>VLOOKUP(B79,[1]Resistor!$A$2:$B$239,2,0)</f>
        <v>101.3.0009</v>
      </c>
      <c r="B79" s="1" t="s">
        <v>194</v>
      </c>
      <c r="C79" s="1" t="s">
        <v>195</v>
      </c>
      <c r="D79" s="3" t="s">
        <v>8</v>
      </c>
      <c r="E79" s="2">
        <v>4700</v>
      </c>
      <c r="F79" s="1" t="s">
        <v>9</v>
      </c>
    </row>
    <row r="80" spans="1:6" x14ac:dyDescent="0.45">
      <c r="A80" s="1" t="str">
        <f>VLOOKUP(B80,[1]Resistor!$A$2:$B$239,2,0)</f>
        <v>101.3.0018</v>
      </c>
      <c r="B80" s="1" t="s">
        <v>196</v>
      </c>
      <c r="C80" s="1" t="s">
        <v>197</v>
      </c>
      <c r="D80" s="3" t="s">
        <v>20</v>
      </c>
      <c r="E80" s="2">
        <v>4300</v>
      </c>
      <c r="F80" s="1" t="s">
        <v>9</v>
      </c>
    </row>
    <row r="81" spans="1:6" x14ac:dyDescent="0.45">
      <c r="A81" s="1" t="str">
        <f>VLOOKUP(B81,[1]Resistor!$A$2:$B$239,2,0)</f>
        <v>101.3.0015</v>
      </c>
      <c r="B81" s="1" t="s">
        <v>198</v>
      </c>
      <c r="C81" s="1" t="s">
        <v>199</v>
      </c>
      <c r="D81" s="3" t="s">
        <v>20</v>
      </c>
      <c r="E81" s="2">
        <v>4500</v>
      </c>
      <c r="F81" s="1" t="s">
        <v>9</v>
      </c>
    </row>
    <row r="82" spans="1:6" x14ac:dyDescent="0.45">
      <c r="A82" s="1" t="str">
        <f>VLOOKUP(B82,[1]Resistor!$A$2:$B$239,2,0)</f>
        <v>101.3.0004</v>
      </c>
      <c r="B82" s="1" t="s">
        <v>200</v>
      </c>
      <c r="C82" s="1" t="s">
        <v>201</v>
      </c>
      <c r="D82" s="3" t="s">
        <v>27</v>
      </c>
      <c r="E82" s="2">
        <v>4500</v>
      </c>
      <c r="F82" s="1" t="s">
        <v>9</v>
      </c>
    </row>
    <row r="83" spans="1:6" x14ac:dyDescent="0.45">
      <c r="A83" s="1" t="str">
        <f>VLOOKUP(B83,[1]Resistor!$A$2:$B$239,2,0)</f>
        <v>101.3.0020</v>
      </c>
      <c r="B83" s="1" t="s">
        <v>202</v>
      </c>
      <c r="C83" s="1" t="s">
        <v>203</v>
      </c>
      <c r="D83" s="3" t="s">
        <v>8</v>
      </c>
      <c r="E83" s="2">
        <v>4700</v>
      </c>
      <c r="F83" s="1" t="s">
        <v>9</v>
      </c>
    </row>
    <row r="84" spans="1:6" x14ac:dyDescent="0.45">
      <c r="A84" s="1" t="str">
        <f>VLOOKUP(B84,[1]Resistor!$A$2:$B$239,2,0)</f>
        <v>101.3.0013</v>
      </c>
      <c r="B84" s="1" t="s">
        <v>204</v>
      </c>
      <c r="C84" s="1" t="s">
        <v>205</v>
      </c>
      <c r="D84" s="3" t="s">
        <v>20</v>
      </c>
      <c r="E84" s="2">
        <v>4700</v>
      </c>
      <c r="F84" s="1" t="s">
        <v>9</v>
      </c>
    </row>
    <row r="85" spans="1:6" x14ac:dyDescent="0.45">
      <c r="A85" s="1" t="str">
        <f>VLOOKUP(B85,[1]Resistor!$A$2:$B$239,2,0)</f>
        <v>101.3.0016</v>
      </c>
      <c r="B85" s="1" t="s">
        <v>206</v>
      </c>
      <c r="C85" s="1" t="s">
        <v>207</v>
      </c>
      <c r="D85" s="3" t="s">
        <v>20</v>
      </c>
      <c r="E85" s="2">
        <v>3600</v>
      </c>
      <c r="F85" s="1" t="s">
        <v>9</v>
      </c>
    </row>
    <row r="86" spans="1:6" x14ac:dyDescent="0.45">
      <c r="A86" s="1" t="str">
        <f>VLOOKUP(B86,[1]Resistor!$A$2:$B$239,2,0)</f>
        <v>101.3.0003</v>
      </c>
      <c r="B86" s="1" t="s">
        <v>208</v>
      </c>
      <c r="C86" s="1" t="s">
        <v>209</v>
      </c>
      <c r="D86" s="3" t="s">
        <v>27</v>
      </c>
      <c r="E86" s="2">
        <v>3500</v>
      </c>
      <c r="F86" s="1" t="s">
        <v>9</v>
      </c>
    </row>
    <row r="87" spans="1:6" x14ac:dyDescent="0.45">
      <c r="A87" s="1" t="str">
        <f>VLOOKUP(B87,[1]Resistor!$A$2:$B$239,2,0)</f>
        <v>101.3.0017</v>
      </c>
      <c r="B87" s="1" t="s">
        <v>210</v>
      </c>
      <c r="C87" s="1" t="s">
        <v>211</v>
      </c>
      <c r="D87" s="3" t="s">
        <v>8</v>
      </c>
      <c r="E87" s="2">
        <v>4300</v>
      </c>
      <c r="F87" s="1" t="s">
        <v>9</v>
      </c>
    </row>
    <row r="88" spans="1:6" x14ac:dyDescent="0.45">
      <c r="A88" s="1" t="str">
        <f>VLOOKUP(B88,[1]Resistor!$A$2:$B$239,2,0)</f>
        <v>101.3.0023</v>
      </c>
      <c r="B88" s="1" t="s">
        <v>212</v>
      </c>
      <c r="C88" s="1" t="s">
        <v>213</v>
      </c>
      <c r="D88" s="3" t="s">
        <v>20</v>
      </c>
      <c r="E88" s="2">
        <v>4000</v>
      </c>
      <c r="F88" s="1" t="s">
        <v>9</v>
      </c>
    </row>
    <row r="89" spans="1:6" x14ac:dyDescent="0.45">
      <c r="A89" s="1" t="s">
        <v>214</v>
      </c>
      <c r="B89" s="4" t="s">
        <v>198</v>
      </c>
      <c r="C89" s="4" t="s">
        <v>215</v>
      </c>
      <c r="D89" s="5" t="s">
        <v>96</v>
      </c>
      <c r="E89" s="4">
        <v>4800</v>
      </c>
      <c r="F89" s="1" t="s">
        <v>94</v>
      </c>
    </row>
    <row r="90" spans="1:6" x14ac:dyDescent="0.45">
      <c r="A90" s="1" t="s">
        <v>216</v>
      </c>
      <c r="B90" s="4" t="s">
        <v>217</v>
      </c>
      <c r="C90" s="4" t="s">
        <v>218</v>
      </c>
      <c r="D90" s="5" t="s">
        <v>123</v>
      </c>
      <c r="E90" s="4">
        <v>4600</v>
      </c>
      <c r="F90" s="1" t="s">
        <v>94</v>
      </c>
    </row>
    <row r="91" spans="1:6" x14ac:dyDescent="0.45">
      <c r="A91" s="1" t="s">
        <v>219</v>
      </c>
      <c r="B91" s="4" t="s">
        <v>200</v>
      </c>
      <c r="C91" s="4" t="s">
        <v>220</v>
      </c>
      <c r="D91" s="5" t="s">
        <v>123</v>
      </c>
      <c r="E91" s="4">
        <v>4000</v>
      </c>
      <c r="F91" s="1" t="s">
        <v>94</v>
      </c>
    </row>
    <row r="92" spans="1:6" x14ac:dyDescent="0.45">
      <c r="A92" s="1" t="s">
        <v>221</v>
      </c>
      <c r="B92" s="4" t="s">
        <v>222</v>
      </c>
      <c r="C92" s="4" t="s">
        <v>223</v>
      </c>
      <c r="D92" s="5" t="s">
        <v>123</v>
      </c>
      <c r="E92" s="4">
        <v>4500</v>
      </c>
      <c r="F92" s="1" t="s">
        <v>94</v>
      </c>
    </row>
    <row r="93" spans="1:6" x14ac:dyDescent="0.45">
      <c r="A93" s="1" t="s">
        <v>224</v>
      </c>
      <c r="B93" s="4" t="s">
        <v>225</v>
      </c>
      <c r="C93" s="4" t="s">
        <v>226</v>
      </c>
      <c r="D93" s="5" t="s">
        <v>96</v>
      </c>
      <c r="E93" s="4">
        <v>8500</v>
      </c>
      <c r="F93" s="1" t="s">
        <v>94</v>
      </c>
    </row>
    <row r="94" spans="1:6" x14ac:dyDescent="0.45">
      <c r="A94" s="1" t="s">
        <v>227</v>
      </c>
      <c r="B94" s="4" t="s">
        <v>228</v>
      </c>
      <c r="C94" s="4" t="s">
        <v>229</v>
      </c>
      <c r="D94" s="5" t="s">
        <v>230</v>
      </c>
      <c r="E94" s="4">
        <v>4600</v>
      </c>
      <c r="F94" s="1" t="s">
        <v>94</v>
      </c>
    </row>
    <row r="95" spans="1:6" x14ac:dyDescent="0.45">
      <c r="A95" s="1" t="s">
        <v>231</v>
      </c>
      <c r="B95" s="4" t="s">
        <v>196</v>
      </c>
      <c r="C95" s="4" t="s">
        <v>197</v>
      </c>
      <c r="D95" s="5" t="s">
        <v>123</v>
      </c>
      <c r="E95" s="4">
        <v>4200</v>
      </c>
      <c r="F95" s="1" t="s">
        <v>94</v>
      </c>
    </row>
    <row r="96" spans="1:6" x14ac:dyDescent="0.45">
      <c r="A96" s="1" t="s">
        <v>232</v>
      </c>
      <c r="B96" s="4" t="s">
        <v>233</v>
      </c>
      <c r="C96" s="4" t="s">
        <v>234</v>
      </c>
      <c r="D96" s="5" t="s">
        <v>93</v>
      </c>
      <c r="E96" s="4">
        <v>4800</v>
      </c>
      <c r="F96" s="1" t="s">
        <v>94</v>
      </c>
    </row>
    <row r="97" spans="1:6" x14ac:dyDescent="0.45">
      <c r="A97" s="1" t="s">
        <v>191</v>
      </c>
      <c r="B97" s="4" t="s">
        <v>192</v>
      </c>
      <c r="C97" s="4" t="s">
        <v>235</v>
      </c>
      <c r="D97" s="5" t="s">
        <v>114</v>
      </c>
      <c r="E97" s="4">
        <v>4500</v>
      </c>
      <c r="F97" s="1" t="s">
        <v>94</v>
      </c>
    </row>
    <row r="98" spans="1:6" x14ac:dyDescent="0.45">
      <c r="A98" s="1" t="s">
        <v>236</v>
      </c>
      <c r="B98" s="4" t="s">
        <v>194</v>
      </c>
      <c r="C98" s="4" t="s">
        <v>237</v>
      </c>
      <c r="D98" s="5" t="s">
        <v>96</v>
      </c>
      <c r="E98" s="4">
        <v>4500</v>
      </c>
      <c r="F98" s="1" t="s">
        <v>94</v>
      </c>
    </row>
    <row r="99" spans="1:6" x14ac:dyDescent="0.45">
      <c r="A99" s="1" t="s">
        <v>238</v>
      </c>
      <c r="B99" s="4" t="s">
        <v>239</v>
      </c>
      <c r="C99" s="4" t="s">
        <v>240</v>
      </c>
      <c r="D99" s="5" t="s">
        <v>241</v>
      </c>
      <c r="E99" s="4">
        <v>4600</v>
      </c>
      <c r="F99" s="1" t="s">
        <v>94</v>
      </c>
    </row>
    <row r="100" spans="1:6" x14ac:dyDescent="0.45">
      <c r="A100" s="1" t="s">
        <v>242</v>
      </c>
      <c r="B100" s="4" t="s">
        <v>243</v>
      </c>
      <c r="C100" s="4" t="s">
        <v>244</v>
      </c>
      <c r="D100" s="5" t="s">
        <v>96</v>
      </c>
      <c r="E100" s="4">
        <v>2800</v>
      </c>
      <c r="F100" s="1" t="s">
        <v>94</v>
      </c>
    </row>
    <row r="102" spans="1:6" x14ac:dyDescent="0.45">
      <c r="A102" t="s">
        <v>245</v>
      </c>
      <c r="B102" s="7" t="s">
        <v>246</v>
      </c>
      <c r="C102" s="9" t="s">
        <v>247</v>
      </c>
      <c r="D102" s="10" t="s">
        <v>248</v>
      </c>
      <c r="E102" s="10">
        <v>4400</v>
      </c>
      <c r="F102" s="11" t="s">
        <v>249</v>
      </c>
    </row>
    <row r="103" spans="1:6" x14ac:dyDescent="0.45">
      <c r="A103" t="s">
        <v>250</v>
      </c>
      <c r="B103" s="10" t="s">
        <v>251</v>
      </c>
      <c r="C103" s="9" t="s">
        <v>252</v>
      </c>
      <c r="D103" s="10" t="s">
        <v>93</v>
      </c>
      <c r="E103" s="10">
        <v>4900</v>
      </c>
      <c r="F103" s="11" t="s">
        <v>249</v>
      </c>
    </row>
    <row r="104" spans="1:6" x14ac:dyDescent="0.45">
      <c r="A104" s="12" t="s">
        <v>253</v>
      </c>
      <c r="B104" s="7" t="s">
        <v>254</v>
      </c>
      <c r="C104" s="9" t="s">
        <v>255</v>
      </c>
      <c r="D104" s="10" t="s">
        <v>93</v>
      </c>
      <c r="E104" s="10">
        <v>4800</v>
      </c>
      <c r="F104" s="11" t="s">
        <v>249</v>
      </c>
    </row>
    <row r="105" spans="1:6" x14ac:dyDescent="0.45">
      <c r="A105" s="12" t="s">
        <v>256</v>
      </c>
      <c r="B105" s="10" t="s">
        <v>257</v>
      </c>
      <c r="C105" s="9" t="s">
        <v>258</v>
      </c>
      <c r="D105" s="7" t="s">
        <v>259</v>
      </c>
      <c r="E105" s="10">
        <v>3000</v>
      </c>
      <c r="F105" s="11" t="s">
        <v>249</v>
      </c>
    </row>
    <row r="106" spans="1:6" x14ac:dyDescent="0.45">
      <c r="A106" t="s">
        <v>260</v>
      </c>
      <c r="B106" s="10" t="s">
        <v>261</v>
      </c>
      <c r="C106" s="9" t="s">
        <v>262</v>
      </c>
      <c r="D106" s="10" t="s">
        <v>127</v>
      </c>
      <c r="E106" s="10">
        <v>9200</v>
      </c>
      <c r="F106" s="11" t="s">
        <v>249</v>
      </c>
    </row>
    <row r="107" spans="1:6" x14ac:dyDescent="0.45">
      <c r="A107" t="s">
        <v>263</v>
      </c>
      <c r="B107" s="10" t="s">
        <v>264</v>
      </c>
      <c r="C107" s="9" t="s">
        <v>265</v>
      </c>
      <c r="D107" s="10" t="s">
        <v>127</v>
      </c>
      <c r="E107" s="10">
        <v>10000</v>
      </c>
      <c r="F107" s="11" t="s">
        <v>249</v>
      </c>
    </row>
    <row r="108" spans="1:6" x14ac:dyDescent="0.45">
      <c r="A108" s="12" t="s">
        <v>266</v>
      </c>
      <c r="B108" s="10" t="s">
        <v>267</v>
      </c>
      <c r="C108" s="9" t="s">
        <v>268</v>
      </c>
      <c r="D108" s="7" t="s">
        <v>93</v>
      </c>
      <c r="E108" s="10">
        <v>1500</v>
      </c>
      <c r="F108" s="11" t="s">
        <v>249</v>
      </c>
    </row>
    <row r="109" spans="1:6" x14ac:dyDescent="0.45">
      <c r="A109" s="12" t="s">
        <v>269</v>
      </c>
      <c r="B109" s="10" t="s">
        <v>270</v>
      </c>
      <c r="C109" s="9" t="s">
        <v>271</v>
      </c>
      <c r="D109" s="10" t="s">
        <v>93</v>
      </c>
      <c r="E109" s="10">
        <v>3500</v>
      </c>
      <c r="F109" s="11" t="s">
        <v>249</v>
      </c>
    </row>
    <row r="110" spans="1:6" x14ac:dyDescent="0.45">
      <c r="A110" t="s">
        <v>272</v>
      </c>
      <c r="B110" s="7" t="s">
        <v>273</v>
      </c>
      <c r="C110" s="9" t="s">
        <v>274</v>
      </c>
      <c r="D110" s="10" t="s">
        <v>275</v>
      </c>
      <c r="E110" s="10">
        <v>3300</v>
      </c>
      <c r="F110" s="11" t="s">
        <v>249</v>
      </c>
    </row>
    <row r="111" spans="1:6" x14ac:dyDescent="0.45">
      <c r="A111" t="s">
        <v>276</v>
      </c>
      <c r="B111" s="7" t="s">
        <v>277</v>
      </c>
      <c r="C111" s="9" t="s">
        <v>278</v>
      </c>
      <c r="D111" s="10" t="s">
        <v>93</v>
      </c>
      <c r="E111" s="10">
        <v>2400</v>
      </c>
      <c r="F111" s="11" t="s">
        <v>249</v>
      </c>
    </row>
    <row r="112" spans="1:6" x14ac:dyDescent="0.45">
      <c r="A112" t="s">
        <v>263</v>
      </c>
      <c r="B112" s="7" t="s">
        <v>279</v>
      </c>
      <c r="C112" s="9" t="s">
        <v>280</v>
      </c>
      <c r="D112" s="10" t="s">
        <v>93</v>
      </c>
      <c r="E112" s="10">
        <v>1900</v>
      </c>
      <c r="F112" s="11" t="s">
        <v>249</v>
      </c>
    </row>
    <row r="113" spans="1:6" x14ac:dyDescent="0.45">
      <c r="A113" t="s">
        <v>281</v>
      </c>
      <c r="B113" s="7" t="s">
        <v>282</v>
      </c>
      <c r="C113" s="9" t="s">
        <v>283</v>
      </c>
      <c r="D113" s="10" t="s">
        <v>93</v>
      </c>
      <c r="E113" s="10">
        <v>3400</v>
      </c>
      <c r="F113" s="11" t="s">
        <v>249</v>
      </c>
    </row>
    <row r="114" spans="1:6" x14ac:dyDescent="0.45">
      <c r="A114" t="s">
        <v>284</v>
      </c>
      <c r="B114" s="10" t="s">
        <v>285</v>
      </c>
      <c r="C114" s="9" t="s">
        <v>286</v>
      </c>
      <c r="D114" s="10" t="s">
        <v>93</v>
      </c>
      <c r="E114" s="10">
        <v>3800</v>
      </c>
      <c r="F114" s="11" t="s">
        <v>249</v>
      </c>
    </row>
    <row r="115" spans="1:6" x14ac:dyDescent="0.45">
      <c r="A115" t="s">
        <v>287</v>
      </c>
      <c r="B115" s="7" t="s">
        <v>288</v>
      </c>
      <c r="C115" s="9" t="s">
        <v>289</v>
      </c>
      <c r="D115" s="10" t="s">
        <v>127</v>
      </c>
      <c r="E115" s="10">
        <v>3600</v>
      </c>
      <c r="F115" s="11" t="s">
        <v>249</v>
      </c>
    </row>
    <row r="116" spans="1:6" x14ac:dyDescent="0.45">
      <c r="A116" s="12" t="s">
        <v>290</v>
      </c>
      <c r="B116" s="10" t="s">
        <v>291</v>
      </c>
      <c r="C116" s="9" t="s">
        <v>292</v>
      </c>
      <c r="D116" s="10" t="s">
        <v>93</v>
      </c>
      <c r="E116" s="10">
        <v>8400</v>
      </c>
      <c r="F116" s="11" t="s">
        <v>249</v>
      </c>
    </row>
    <row r="117" spans="1:6" x14ac:dyDescent="0.45">
      <c r="A117" t="s">
        <v>293</v>
      </c>
      <c r="B117" s="10" t="s">
        <v>264</v>
      </c>
      <c r="C117" s="9" t="s">
        <v>294</v>
      </c>
      <c r="D117" s="10" t="s">
        <v>259</v>
      </c>
      <c r="E117" s="10">
        <v>1500</v>
      </c>
      <c r="F117" s="11" t="s">
        <v>249</v>
      </c>
    </row>
    <row r="118" spans="1:6" x14ac:dyDescent="0.45">
      <c r="A118" t="s">
        <v>295</v>
      </c>
      <c r="B118" s="10" t="s">
        <v>296</v>
      </c>
      <c r="C118" s="9" t="s">
        <v>297</v>
      </c>
      <c r="D118" s="10" t="s">
        <v>259</v>
      </c>
      <c r="E118" s="10">
        <v>1200</v>
      </c>
      <c r="F118" s="11" t="s">
        <v>249</v>
      </c>
    </row>
    <row r="119" spans="1:6" x14ac:dyDescent="0.45">
      <c r="A119" s="12" t="s">
        <v>298</v>
      </c>
      <c r="B119" s="10" t="s">
        <v>299</v>
      </c>
      <c r="C119" s="9" t="s">
        <v>300</v>
      </c>
      <c r="D119" s="10" t="s">
        <v>93</v>
      </c>
      <c r="E119" s="10">
        <v>5000</v>
      </c>
      <c r="F119" s="11" t="s">
        <v>249</v>
      </c>
    </row>
    <row r="120" spans="1:6" x14ac:dyDescent="0.45">
      <c r="A120" t="s">
        <v>301</v>
      </c>
      <c r="B120" s="10" t="s">
        <v>302</v>
      </c>
      <c r="C120" s="9" t="s">
        <v>303</v>
      </c>
      <c r="D120" s="10" t="s">
        <v>93</v>
      </c>
      <c r="E120" s="10">
        <v>2600</v>
      </c>
      <c r="F120" s="11" t="s">
        <v>249</v>
      </c>
    </row>
    <row r="121" spans="1:6" x14ac:dyDescent="0.45">
      <c r="A121" s="12" t="s">
        <v>304</v>
      </c>
      <c r="B121" s="10" t="s">
        <v>305</v>
      </c>
      <c r="C121" s="9" t="s">
        <v>306</v>
      </c>
      <c r="D121" s="7" t="s">
        <v>259</v>
      </c>
      <c r="E121" s="10">
        <v>1500</v>
      </c>
      <c r="F121" s="11" t="s">
        <v>249</v>
      </c>
    </row>
    <row r="122" spans="1:6" x14ac:dyDescent="0.45">
      <c r="A122" t="s">
        <v>307</v>
      </c>
      <c r="B122" s="10" t="s">
        <v>308</v>
      </c>
      <c r="C122" s="9" t="s">
        <v>309</v>
      </c>
      <c r="D122" s="10" t="s">
        <v>310</v>
      </c>
      <c r="E122" s="10">
        <v>1500</v>
      </c>
      <c r="F122" s="11" t="s">
        <v>249</v>
      </c>
    </row>
    <row r="123" spans="1:6" x14ac:dyDescent="0.45">
      <c r="A123" t="s">
        <v>311</v>
      </c>
      <c r="B123" s="7" t="s">
        <v>312</v>
      </c>
      <c r="C123" s="9" t="s">
        <v>313</v>
      </c>
      <c r="D123" s="10" t="s">
        <v>275</v>
      </c>
      <c r="E123" s="10">
        <v>1000</v>
      </c>
      <c r="F123" s="11" t="s">
        <v>249</v>
      </c>
    </row>
    <row r="124" spans="1:6" x14ac:dyDescent="0.45">
      <c r="A124" t="s">
        <v>314</v>
      </c>
      <c r="B124" s="10" t="s">
        <v>315</v>
      </c>
      <c r="C124" s="9" t="s">
        <v>316</v>
      </c>
      <c r="D124" s="10" t="s">
        <v>275</v>
      </c>
      <c r="E124" s="10">
        <v>1500</v>
      </c>
      <c r="F124" s="11" t="s">
        <v>249</v>
      </c>
    </row>
    <row r="125" spans="1:6" x14ac:dyDescent="0.45">
      <c r="A125" t="s">
        <v>317</v>
      </c>
      <c r="B125" s="10" t="s">
        <v>305</v>
      </c>
      <c r="C125" s="9" t="s">
        <v>318</v>
      </c>
      <c r="D125" s="10" t="s">
        <v>275</v>
      </c>
      <c r="E125" s="10">
        <v>2200</v>
      </c>
      <c r="F125" s="11" t="s">
        <v>249</v>
      </c>
    </row>
    <row r="126" spans="1:6" x14ac:dyDescent="0.45">
      <c r="A126" t="s">
        <v>319</v>
      </c>
      <c r="B126" s="13" t="s">
        <v>320</v>
      </c>
      <c r="C126" s="14" t="s">
        <v>321</v>
      </c>
      <c r="D126" s="15" t="s">
        <v>93</v>
      </c>
      <c r="E126" s="15">
        <v>1200</v>
      </c>
      <c r="F126" s="11" t="s">
        <v>249</v>
      </c>
    </row>
    <row r="127" spans="1:6" x14ac:dyDescent="0.45">
      <c r="F127" s="11"/>
    </row>
    <row r="128" spans="1:6" ht="15.4" x14ac:dyDescent="0.45">
      <c r="A128" s="17" t="s">
        <v>322</v>
      </c>
      <c r="C128" s="18" t="s">
        <v>323</v>
      </c>
      <c r="D128" s="18" t="s">
        <v>324</v>
      </c>
      <c r="E128" s="18">
        <v>70</v>
      </c>
      <c r="F128" s="11" t="s">
        <v>249</v>
      </c>
    </row>
    <row r="129" spans="1:14" x14ac:dyDescent="0.45">
      <c r="A129" t="s">
        <v>325</v>
      </c>
      <c r="C129" s="18" t="s">
        <v>326</v>
      </c>
      <c r="D129" s="18" t="s">
        <v>327</v>
      </c>
      <c r="E129" s="18">
        <v>35</v>
      </c>
      <c r="F129" s="11" t="s">
        <v>249</v>
      </c>
    </row>
    <row r="130" spans="1:14" x14ac:dyDescent="0.45">
      <c r="A130" t="s">
        <v>328</v>
      </c>
      <c r="C130" s="18" t="s">
        <v>329</v>
      </c>
      <c r="D130" s="18" t="s">
        <v>324</v>
      </c>
      <c r="E130" s="18">
        <v>2500</v>
      </c>
      <c r="F130" s="11" t="s">
        <v>249</v>
      </c>
    </row>
    <row r="131" spans="1:14" ht="15.75" x14ac:dyDescent="0.45">
      <c r="A131" t="s">
        <v>330</v>
      </c>
      <c r="C131" s="18" t="s">
        <v>331</v>
      </c>
      <c r="D131" s="18" t="s">
        <v>332</v>
      </c>
      <c r="E131" s="18">
        <v>300</v>
      </c>
      <c r="F131" s="11" t="s">
        <v>249</v>
      </c>
      <c r="H131" s="19"/>
      <c r="I131" s="19"/>
      <c r="J131" s="19"/>
      <c r="K131" s="19"/>
      <c r="L131" s="19"/>
      <c r="M131" s="19"/>
      <c r="N131" s="20"/>
    </row>
    <row r="132" spans="1:14" x14ac:dyDescent="0.45">
      <c r="A132" s="21" t="s">
        <v>333</v>
      </c>
      <c r="C132" s="18" t="s">
        <v>334</v>
      </c>
      <c r="D132" s="18" t="s">
        <v>335</v>
      </c>
      <c r="E132" s="18">
        <v>200</v>
      </c>
      <c r="F132" s="11" t="s">
        <v>249</v>
      </c>
      <c r="H132" s="18"/>
      <c r="I132" s="18"/>
      <c r="J132" s="18"/>
    </row>
    <row r="133" spans="1:14" x14ac:dyDescent="0.45">
      <c r="H133" s="18"/>
      <c r="I133" s="18"/>
      <c r="J133" s="18"/>
    </row>
    <row r="134" spans="1:14" x14ac:dyDescent="0.45">
      <c r="H134" s="18"/>
      <c r="I134" s="18"/>
      <c r="J134" s="18"/>
    </row>
    <row r="135" spans="1:14" x14ac:dyDescent="0.45">
      <c r="H135" s="18"/>
      <c r="I135" s="18"/>
      <c r="J135" s="18"/>
    </row>
    <row r="136" spans="1:14" x14ac:dyDescent="0.45">
      <c r="H136" s="18"/>
      <c r="I136" s="18"/>
      <c r="J136" s="18"/>
    </row>
    <row r="137" spans="1:14" x14ac:dyDescent="0.45">
      <c r="H137" s="18"/>
      <c r="I137" s="18"/>
      <c r="J137" s="18"/>
      <c r="K137" s="18"/>
      <c r="M137" s="18"/>
      <c r="N137" s="20"/>
    </row>
    <row r="138" spans="1:14" x14ac:dyDescent="0.45">
      <c r="H138" s="18"/>
      <c r="I138" s="18"/>
      <c r="J138" s="18"/>
      <c r="K138" s="18"/>
      <c r="L138" s="18"/>
      <c r="M138" s="18"/>
      <c r="N138" s="20"/>
    </row>
    <row r="139" spans="1:14" x14ac:dyDescent="0.45">
      <c r="H139" s="18"/>
      <c r="I139" s="18"/>
      <c r="J139" s="18"/>
      <c r="K139" s="18"/>
      <c r="L139" s="18"/>
      <c r="M139" s="18"/>
      <c r="N139" s="20"/>
    </row>
    <row r="140" spans="1:14" x14ac:dyDescent="0.45">
      <c r="H140" s="18"/>
      <c r="I140" s="18"/>
      <c r="J140" s="18"/>
      <c r="K140" s="18"/>
      <c r="L140" s="18"/>
      <c r="M140" s="18"/>
      <c r="N140" s="20"/>
    </row>
    <row r="141" spans="1:14" x14ac:dyDescent="0.45">
      <c r="H141" s="18"/>
      <c r="I141" s="18"/>
      <c r="J141" s="18"/>
      <c r="K141" s="18"/>
      <c r="L141" s="18"/>
      <c r="M141" s="18"/>
      <c r="N141" s="20"/>
    </row>
  </sheetData>
  <autoFilter ref="A2:F100" xr:uid="{DE383ED6-D520-412C-A25C-07D359E09EA5}"/>
  <conditionalFormatting sqref="A1:A101 A133:A1048576 A127">
    <cfRule type="duplicateValues" dxfId="11" priority="3"/>
  </conditionalFormatting>
  <conditionalFormatting sqref="A104:A105">
    <cfRule type="duplicateValues" dxfId="10" priority="1"/>
  </conditionalFormatting>
  <conditionalFormatting sqref="B1:B101 B127:B1048576">
    <cfRule type="duplicateValues" dxfId="9" priority="2"/>
  </conditionalFormatting>
  <conditionalFormatting sqref="B2">
    <cfRule type="duplicateValues" dxfId="8" priority="9"/>
  </conditionalFormatting>
  <conditionalFormatting sqref="B39:B54">
    <cfRule type="duplicateValues" dxfId="7" priority="10"/>
  </conditionalFormatting>
  <conditionalFormatting sqref="B55:B62 B76:B88 B1:B38 B101 B127:B1048576">
    <cfRule type="duplicateValues" dxfId="6" priority="8"/>
  </conditionalFormatting>
  <conditionalFormatting sqref="B63:B75">
    <cfRule type="duplicateValues" dxfId="5" priority="6"/>
  </conditionalFormatting>
  <conditionalFormatting sqref="B89:B100">
    <cfRule type="duplicateValues" dxfId="4" priority="5"/>
  </conditionalFormatting>
  <conditionalFormatting sqref="C39:C54">
    <cfRule type="duplicateValues" dxfId="2" priority="12"/>
  </conditionalFormatting>
  <conditionalFormatting sqref="C63:C75">
    <cfRule type="duplicateValues" dxfId="1" priority="7"/>
  </conditionalFormatting>
  <conditionalFormatting sqref="C89:C10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Mandeep Siwach</dc:creator>
  <cp:lastModifiedBy>Mandeep Siwach</cp:lastModifiedBy>
  <dcterms:created xsi:type="dcterms:W3CDTF">2026-09-08T04:39:13Z</dcterms:created>
  <dcterms:modified xsi:type="dcterms:W3CDTF">2026-09-08T04:40:02Z</dcterms:modified>
</cp:coreProperties>
</file>